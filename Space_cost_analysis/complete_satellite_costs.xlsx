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4e1fa94583d41c/Documents/Documents/Resume/Technical Portfolio/Space_cost_analysis/"/>
    </mc:Choice>
  </mc:AlternateContent>
  <xr:revisionPtr revIDLastSave="30" documentId="8_{89423C03-C06F-4E05-8233-A29F2B750B96}" xr6:coauthVersionLast="47" xr6:coauthVersionMax="47" xr10:uidLastSave="{EC7C2B89-670D-4C4A-8357-40CE3EC92C23}"/>
  <bookViews>
    <workbookView xWindow="-93" yWindow="-93" windowWidth="25786" windowHeight="13866" activeTab="3" xr2:uid="{672C0AD1-C5ED-4233-8DF4-25B5429E39F1}"/>
  </bookViews>
  <sheets>
    <sheet name="satellite_costs_by_year" sheetId="3" r:id="rId1"/>
    <sheet name="satellite_programs" sheetId="1" r:id="rId2"/>
    <sheet name="satellite_production_detail" sheetId="2" r:id="rId3"/>
    <sheet name="satellite_components" sheetId="4" r:id="rId4"/>
    <sheet name="Integrity Checks" sheetId="5" r:id="rId5"/>
  </sheets>
  <definedNames>
    <definedName name="_xlnm._FilterDatabase" localSheetId="3" hidden="1">satellite_components!$A$1:$L$1</definedName>
    <definedName name="_xlnm._FilterDatabase" localSheetId="0" hidden="1">satellite_costs_by_year!$A$1:$K$841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2" i="1"/>
  <c r="C6" i="5" s="1" a="1"/>
  <c r="C6" i="5" s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2" i="1"/>
  <c r="C5" i="5" s="1" a="1"/>
  <c r="C5" i="5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2" i="4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2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X40" i="1" l="1"/>
  <c r="X48" i="1"/>
  <c r="X42" i="1"/>
  <c r="X47" i="1"/>
  <c r="X38" i="1"/>
  <c r="X39" i="1"/>
  <c r="X36" i="1"/>
  <c r="X35" i="1"/>
  <c r="X2" i="1"/>
  <c r="X23" i="1"/>
  <c r="X25" i="1"/>
  <c r="X14" i="1"/>
  <c r="X5" i="1"/>
  <c r="X3" i="1"/>
  <c r="X41" i="1"/>
  <c r="X45" i="1"/>
  <c r="X17" i="1"/>
  <c r="X7" i="1"/>
  <c r="X4" i="1"/>
  <c r="X21" i="1"/>
  <c r="X27" i="1"/>
  <c r="X15" i="1"/>
  <c r="X20" i="1"/>
  <c r="X28" i="1"/>
  <c r="X37" i="1"/>
  <c r="X8" i="1"/>
  <c r="X11" i="1"/>
  <c r="X44" i="1"/>
  <c r="X29" i="1"/>
  <c r="X26" i="1"/>
  <c r="X18" i="1"/>
  <c r="X33" i="1"/>
  <c r="X13" i="1"/>
  <c r="X51" i="1"/>
  <c r="X49" i="1"/>
  <c r="X43" i="1"/>
  <c r="X32" i="1"/>
  <c r="X30" i="1"/>
  <c r="X16" i="1"/>
  <c r="X9" i="1"/>
  <c r="X50" i="1"/>
  <c r="X24" i="1"/>
  <c r="X22" i="1"/>
  <c r="X46" i="1"/>
  <c r="X31" i="1"/>
  <c r="X19" i="1"/>
  <c r="X34" i="1"/>
  <c r="X12" i="1"/>
  <c r="X10" i="1"/>
  <c r="X6" i="1"/>
  <c r="C7" i="5" l="1" a="1"/>
  <c r="C7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<sst xmlns="http://schemas.openxmlformats.org/spreadsheetml/2006/main" count="5884" uniqueCount="138">
  <si>
    <t>program_name</t>
  </si>
  <si>
    <t>mission_type</t>
  </si>
  <si>
    <t>orbit_class</t>
  </si>
  <si>
    <t>dry_mass_kg</t>
  </si>
  <si>
    <t>bol_power_w</t>
  </si>
  <si>
    <t>design_life_yrs</t>
  </si>
  <si>
    <t>num_instruments</t>
  </si>
  <si>
    <t>software_sloc_k</t>
  </si>
  <si>
    <t>contractor_heritage</t>
  </si>
  <si>
    <t>technology_readiness_level</t>
  </si>
  <si>
    <t>year_development_start</t>
  </si>
  <si>
    <t>launch_year</t>
  </si>
  <si>
    <t>end_of_life_year</t>
  </si>
  <si>
    <t>program_phase</t>
  </si>
  <si>
    <t>development_cost_fy2020_musd</t>
  </si>
  <si>
    <t>production_cost_fy2020_musd</t>
  </si>
  <si>
    <t>annual_ops_cost_fy2020_musd</t>
  </si>
  <si>
    <t>total_ops_cost_fy2020_musd</t>
  </si>
  <si>
    <t>total_maintenance_cost_fy2020_musd</t>
  </si>
  <si>
    <t>disposal_cost_fy2020_musd</t>
  </si>
  <si>
    <t>total_lcc_fy2020_musd</t>
  </si>
  <si>
    <t>Comsat-1A</t>
  </si>
  <si>
    <t>Communications</t>
  </si>
  <si>
    <t>GEO</t>
  </si>
  <si>
    <t>High</t>
  </si>
  <si>
    <t>Retired</t>
  </si>
  <si>
    <t>Comsat-2B</t>
  </si>
  <si>
    <t>Comsat-3C</t>
  </si>
  <si>
    <t>Operations</t>
  </si>
  <si>
    <t>Comsat-4D</t>
  </si>
  <si>
    <t>Comsat-5E</t>
  </si>
  <si>
    <t>EarthObs-1</t>
  </si>
  <si>
    <t>Earth Observation</t>
  </si>
  <si>
    <t>LEO</t>
  </si>
  <si>
    <t>Medium</t>
  </si>
  <si>
    <t>EarthObs-2</t>
  </si>
  <si>
    <t>EarthObs-3</t>
  </si>
  <si>
    <t>EarthObs-4</t>
  </si>
  <si>
    <t>EarthObs-5</t>
  </si>
  <si>
    <t>EarthObs-6</t>
  </si>
  <si>
    <t>EarthObs-7</t>
  </si>
  <si>
    <t>EarthObs-8</t>
  </si>
  <si>
    <t>NavSat-1</t>
  </si>
  <si>
    <t>Navigation</t>
  </si>
  <si>
    <t>MEO</t>
  </si>
  <si>
    <t>NavSat-2</t>
  </si>
  <si>
    <t>NavSat-3</t>
  </si>
  <si>
    <t>NavSat-4</t>
  </si>
  <si>
    <t>NavSat-5</t>
  </si>
  <si>
    <t>WeatherSat-1</t>
  </si>
  <si>
    <t>Meteorology</t>
  </si>
  <si>
    <t>WeatherSat-2</t>
  </si>
  <si>
    <t>WeatherSat-3</t>
  </si>
  <si>
    <t>WeatherSat-4</t>
  </si>
  <si>
    <t>WeatherSat-5</t>
  </si>
  <si>
    <t>SciSat-1</t>
  </si>
  <si>
    <t>Science</t>
  </si>
  <si>
    <t>Low</t>
  </si>
  <si>
    <t>SciSat-2</t>
  </si>
  <si>
    <t>SciSat-3</t>
  </si>
  <si>
    <t>SciSat-4</t>
  </si>
  <si>
    <t>SciSat-5</t>
  </si>
  <si>
    <t>HEO</t>
  </si>
  <si>
    <t>SciSat-6</t>
  </si>
  <si>
    <t>SciSat-7</t>
  </si>
  <si>
    <t>SciSat-8</t>
  </si>
  <si>
    <t>MilSat-1</t>
  </si>
  <si>
    <t>Military Surveillance</t>
  </si>
  <si>
    <t>MilSat-2</t>
  </si>
  <si>
    <t>MilSat-3</t>
  </si>
  <si>
    <t>MilSat-4</t>
  </si>
  <si>
    <t>MilSat-5</t>
  </si>
  <si>
    <t>MilSat-6</t>
  </si>
  <si>
    <t>TechDemo-1</t>
  </si>
  <si>
    <t>Technology Demo</t>
  </si>
  <si>
    <t>TechDemo-2</t>
  </si>
  <si>
    <t>TechDemo-3</t>
  </si>
  <si>
    <t>TechDemo-4</t>
  </si>
  <si>
    <t>TechDemo-5</t>
  </si>
  <si>
    <t>SmallSat-1</t>
  </si>
  <si>
    <t>SmallSat-2</t>
  </si>
  <si>
    <t>SmallSat-3</t>
  </si>
  <si>
    <t>SmallSat-4</t>
  </si>
  <si>
    <t>SmallSat-5</t>
  </si>
  <si>
    <t>DeepSpace-1</t>
  </si>
  <si>
    <t>Interplanetary</t>
  </si>
  <si>
    <t>DeepSpace-2</t>
  </si>
  <si>
    <t>DeepSpace-3</t>
  </si>
  <si>
    <t>subcontractor_cost_pct</t>
  </si>
  <si>
    <t>material_cost_pct</t>
  </si>
  <si>
    <t>labor_cost_pct</t>
  </si>
  <si>
    <t>peak_headcount_persons</t>
  </si>
  <si>
    <t>total_labor_hours</t>
  </si>
  <si>
    <t>scrap_rework_rate_pct</t>
  </si>
  <si>
    <t>scrap_and_rework_cost_fy2020_musd</t>
  </si>
  <si>
    <t>quality_assurance_cost_fy2020_musd</t>
  </si>
  <si>
    <t>integration_assembly_test_cost_fy2020_musd</t>
  </si>
  <si>
    <t>subcontractor_cost_fy2020_musd</t>
  </si>
  <si>
    <t>material_cost_fy2020_musd</t>
  </si>
  <si>
    <t>labor_cost_fy2020_musd</t>
  </si>
  <si>
    <t>unit_cost_fy2020_musd</t>
  </si>
  <si>
    <t>total_production_cost_fy2020_musd</t>
  </si>
  <si>
    <t>units_produced</t>
  </si>
  <si>
    <t>Disposal</t>
  </si>
  <si>
    <t>Development/Production</t>
  </si>
  <si>
    <t>total_annual_cost_musd</t>
  </si>
  <si>
    <t>disposal_spend_musd</t>
  </si>
  <si>
    <t>maintenance_spend_musd</t>
  </si>
  <si>
    <t>ops_spend_musd</t>
  </si>
  <si>
    <t>production_spend_musd</t>
  </si>
  <si>
    <t>development_spend_musd</t>
  </si>
  <si>
    <t>phase</t>
  </si>
  <si>
    <t>fiscal_year</t>
  </si>
  <si>
    <t>Integration, Assembly &amp; Test</t>
  </si>
  <si>
    <t>Software</t>
  </si>
  <si>
    <t>Payload / Instruments</t>
  </si>
  <si>
    <t>Communications / RF</t>
  </si>
  <si>
    <t>Command &amp; Data Handling</t>
  </si>
  <si>
    <t>Attitude Control (ADCS)</t>
  </si>
  <si>
    <t>Propulsion</t>
  </si>
  <si>
    <t>Power (EPS + Solar Arrays)</t>
  </si>
  <si>
    <t>Thermal Control</t>
  </si>
  <si>
    <t>Structures &amp; Mechanisms</t>
  </si>
  <si>
    <t>subsystem_total_cost_fy2020_musd</t>
  </si>
  <si>
    <t>subsystem_prod_cost_fy2020_musd</t>
  </si>
  <si>
    <t>subsystem_dev_cost_fy2020_musd</t>
  </si>
  <si>
    <t>subsystem_power_w</t>
  </si>
  <si>
    <t>subsystem_mass_kg</t>
  </si>
  <si>
    <t>subsystem</t>
  </si>
  <si>
    <t>wbs_id</t>
  </si>
  <si>
    <t>Check_Dev_Cost</t>
  </si>
  <si>
    <t>Development Costs</t>
  </si>
  <si>
    <t>Check</t>
  </si>
  <si>
    <t>Integrity</t>
  </si>
  <si>
    <t>Check_Prod_Cost</t>
  </si>
  <si>
    <t>Production Costs</t>
  </si>
  <si>
    <t>Check_yearly_spend</t>
  </si>
  <si>
    <t>Yearly 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</si>
</sst>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A9F0B-91E3-4ED3-A180-693CCABC70A1}">
  <dimension ref="A1:L841"/>
  <sheetViews>
    <sheetView workbookViewId="0">
      <pane ySplit="1" topLeftCell="A2" activePane="bottomLeft" state="frozen"/>
      <selection activeCell="Q11" sqref="Q11"/>
      <selection pane="bottomLeft" activeCell="J24" sqref="J24"/>
    </sheetView>
  </sheetViews>
  <sheetFormatPr defaultRowHeight="14.35" x14ac:dyDescent="0.5"/>
  <cols>
    <col min="1" max="1" width="13.41015625" style="1" bestFit="1" customWidth="1"/>
    <col min="2" max="2" width="17.52734375" style="1" bestFit="1" customWidth="1"/>
    <col min="3" max="3" width="12.3515625" style="1" bestFit="1" customWidth="1"/>
    <col min="4" max="4" width="9.5859375" style="1" bestFit="1" customWidth="1"/>
    <col min="5" max="5" width="21.52734375" style="1" bestFit="1" customWidth="1"/>
    <col min="6" max="6" width="22.9375" style="1" bestFit="1" customWidth="1"/>
    <col min="7" max="7" width="21.52734375" style="1" bestFit="1" customWidth="1"/>
    <col min="8" max="8" width="15.29296875" style="1" bestFit="1" customWidth="1"/>
    <col min="9" max="9" width="23.234375" style="1" bestFit="1" customWidth="1"/>
    <col min="10" max="10" width="19.52734375" style="1" bestFit="1" customWidth="1"/>
    <col min="11" max="11" width="21.234375" style="1" bestFit="1" customWidth="1"/>
    <col min="12" max="12" width="13.8203125" style="1" bestFit="1" customWidth="1"/>
  </cols>
  <sheetData>
    <row r="1" spans="1:12" x14ac:dyDescent="0.5">
      <c r="A1" s="1" t="s">
        <v>0</v>
      </c>
      <c r="B1" s="1" t="s">
        <v>1</v>
      </c>
      <c r="C1" s="1" t="s">
        <v>2</v>
      </c>
      <c r="D1" s="1" t="s">
        <v>112</v>
      </c>
      <c r="E1" s="1" t="s">
        <v>111</v>
      </c>
      <c r="F1" s="1" t="s">
        <v>110</v>
      </c>
      <c r="G1" s="1" t="s">
        <v>109</v>
      </c>
      <c r="H1" s="1" t="s">
        <v>108</v>
      </c>
      <c r="I1" s="1" t="s">
        <v>107</v>
      </c>
      <c r="J1" s="1" t="s">
        <v>106</v>
      </c>
      <c r="K1" s="1" t="s">
        <v>105</v>
      </c>
      <c r="L1" s="1" t="s">
        <v>13</v>
      </c>
    </row>
    <row r="2" spans="1:12" x14ac:dyDescent="0.5">
      <c r="A2" s="1" t="s">
        <v>21</v>
      </c>
      <c r="B2" s="1" t="s">
        <v>22</v>
      </c>
      <c r="C2" s="1" t="s">
        <v>23</v>
      </c>
      <c r="D2" s="1">
        <v>1998</v>
      </c>
      <c r="E2" s="1" t="s">
        <v>104</v>
      </c>
      <c r="F2" s="1">
        <v>14.48</v>
      </c>
      <c r="G2" s="1">
        <v>0</v>
      </c>
      <c r="H2" s="1">
        <v>0</v>
      </c>
      <c r="I2" s="1">
        <v>0</v>
      </c>
      <c r="J2" s="1">
        <v>0</v>
      </c>
      <c r="K2" s="1">
        <f t="shared" ref="K2:K65" si="0">SUM(F2:J2)</f>
        <v>14.48</v>
      </c>
      <c r="L2" s="1" t="str">
        <f>_xlfn.XLOOKUP(A2,satellite_programs!A:A,satellite_programs!N:N)</f>
        <v>Retired</v>
      </c>
    </row>
    <row r="3" spans="1:12" x14ac:dyDescent="0.5">
      <c r="A3" s="1" t="s">
        <v>21</v>
      </c>
      <c r="B3" s="1" t="s">
        <v>22</v>
      </c>
      <c r="C3" s="1" t="s">
        <v>23</v>
      </c>
      <c r="D3" s="1">
        <v>1999</v>
      </c>
      <c r="E3" s="1" t="s">
        <v>104</v>
      </c>
      <c r="F3" s="1">
        <v>28.95</v>
      </c>
      <c r="G3" s="1">
        <v>0</v>
      </c>
      <c r="H3" s="1">
        <v>0</v>
      </c>
      <c r="I3" s="1">
        <v>0</v>
      </c>
      <c r="J3" s="1">
        <v>0</v>
      </c>
      <c r="K3" s="1">
        <f t="shared" si="0"/>
        <v>28.95</v>
      </c>
      <c r="L3" s="1" t="str">
        <f>_xlfn.XLOOKUP(A3,satellite_programs!A:A,satellite_programs!N:N)</f>
        <v>Retired</v>
      </c>
    </row>
    <row r="4" spans="1:12" x14ac:dyDescent="0.5">
      <c r="A4" s="1" t="s">
        <v>21</v>
      </c>
      <c r="B4" s="1" t="s">
        <v>22</v>
      </c>
      <c r="C4" s="1" t="s">
        <v>23</v>
      </c>
      <c r="D4" s="1">
        <v>2000</v>
      </c>
      <c r="E4" s="1" t="s">
        <v>104</v>
      </c>
      <c r="F4" s="1">
        <v>52.11</v>
      </c>
      <c r="G4" s="1">
        <v>0</v>
      </c>
      <c r="H4" s="1">
        <v>0</v>
      </c>
      <c r="I4" s="1">
        <v>0</v>
      </c>
      <c r="J4" s="1">
        <v>0</v>
      </c>
      <c r="K4" s="1">
        <f t="shared" si="0"/>
        <v>52.11</v>
      </c>
      <c r="L4" s="1" t="str">
        <f>_xlfn.XLOOKUP(A4,satellite_programs!A:A,satellite_programs!N:N)</f>
        <v>Retired</v>
      </c>
    </row>
    <row r="5" spans="1:12" x14ac:dyDescent="0.5">
      <c r="A5" s="1" t="s">
        <v>21</v>
      </c>
      <c r="B5" s="1" t="s">
        <v>22</v>
      </c>
      <c r="C5" s="1" t="s">
        <v>23</v>
      </c>
      <c r="D5" s="1">
        <v>2001</v>
      </c>
      <c r="E5" s="1" t="s">
        <v>104</v>
      </c>
      <c r="F5" s="1">
        <v>63.69</v>
      </c>
      <c r="G5" s="1">
        <v>0</v>
      </c>
      <c r="H5" s="1">
        <v>0</v>
      </c>
      <c r="I5" s="1">
        <v>0</v>
      </c>
      <c r="J5" s="1">
        <v>0</v>
      </c>
      <c r="K5" s="1">
        <f t="shared" si="0"/>
        <v>63.69</v>
      </c>
      <c r="L5" s="1" t="str">
        <f>_xlfn.XLOOKUP(A5,satellite_programs!A:A,satellite_programs!N:N)</f>
        <v>Retired</v>
      </c>
    </row>
    <row r="6" spans="1:12" x14ac:dyDescent="0.5">
      <c r="A6" s="1" t="s">
        <v>21</v>
      </c>
      <c r="B6" s="1" t="s">
        <v>22</v>
      </c>
      <c r="C6" s="1" t="s">
        <v>23</v>
      </c>
      <c r="D6" s="1">
        <v>2002</v>
      </c>
      <c r="E6" s="1" t="s">
        <v>104</v>
      </c>
      <c r="F6" s="1">
        <v>57.9</v>
      </c>
      <c r="G6" s="1">
        <v>0</v>
      </c>
      <c r="H6" s="1">
        <v>0</v>
      </c>
      <c r="I6" s="1">
        <v>0</v>
      </c>
      <c r="J6" s="1">
        <v>0</v>
      </c>
      <c r="K6" s="1">
        <f t="shared" si="0"/>
        <v>57.9</v>
      </c>
      <c r="L6" s="1" t="str">
        <f>_xlfn.XLOOKUP(A6,satellite_programs!A:A,satellite_programs!N:N)</f>
        <v>Retired</v>
      </c>
    </row>
    <row r="7" spans="1:12" x14ac:dyDescent="0.5">
      <c r="A7" s="1" t="s">
        <v>21</v>
      </c>
      <c r="B7" s="1" t="s">
        <v>22</v>
      </c>
      <c r="C7" s="1" t="s">
        <v>23</v>
      </c>
      <c r="D7" s="1">
        <v>2003</v>
      </c>
      <c r="E7" s="1" t="s">
        <v>104</v>
      </c>
      <c r="F7" s="1">
        <v>37.64</v>
      </c>
      <c r="G7" s="1">
        <v>61.14</v>
      </c>
      <c r="H7" s="1">
        <v>0</v>
      </c>
      <c r="I7" s="1">
        <v>0</v>
      </c>
      <c r="J7" s="1">
        <v>0</v>
      </c>
      <c r="K7" s="1">
        <f t="shared" si="0"/>
        <v>98.78</v>
      </c>
      <c r="L7" s="1" t="str">
        <f>_xlfn.XLOOKUP(A7,satellite_programs!A:A,satellite_programs!N:N)</f>
        <v>Retired</v>
      </c>
    </row>
    <row r="8" spans="1:12" x14ac:dyDescent="0.5">
      <c r="A8" s="1" t="s">
        <v>21</v>
      </c>
      <c r="B8" s="1" t="s">
        <v>22</v>
      </c>
      <c r="C8" s="1" t="s">
        <v>23</v>
      </c>
      <c r="D8" s="1">
        <v>2004</v>
      </c>
      <c r="E8" s="1" t="s">
        <v>104</v>
      </c>
      <c r="F8" s="1">
        <v>23.16</v>
      </c>
      <c r="G8" s="1">
        <v>50.03</v>
      </c>
      <c r="H8" s="1">
        <v>0</v>
      </c>
      <c r="I8" s="1">
        <v>0</v>
      </c>
      <c r="J8" s="1">
        <v>0</v>
      </c>
      <c r="K8" s="1">
        <f t="shared" si="0"/>
        <v>73.19</v>
      </c>
      <c r="L8" s="1" t="str">
        <f>_xlfn.XLOOKUP(A8,satellite_programs!A:A,satellite_programs!N:N)</f>
        <v>Retired</v>
      </c>
    </row>
    <row r="9" spans="1:12" x14ac:dyDescent="0.5">
      <c r="A9" s="1" t="s">
        <v>21</v>
      </c>
      <c r="B9" s="1" t="s">
        <v>22</v>
      </c>
      <c r="C9" s="1" t="s">
        <v>23</v>
      </c>
      <c r="D9" s="1">
        <v>2005</v>
      </c>
      <c r="E9" s="1" t="s">
        <v>28</v>
      </c>
      <c r="F9" s="1">
        <v>0</v>
      </c>
      <c r="G9" s="1">
        <v>0</v>
      </c>
      <c r="H9" s="1">
        <v>40.799999999999997</v>
      </c>
      <c r="I9" s="1">
        <v>17.04</v>
      </c>
      <c r="J9" s="1">
        <v>0</v>
      </c>
      <c r="K9" s="1">
        <f t="shared" si="0"/>
        <v>57.839999999999996</v>
      </c>
      <c r="L9" s="1" t="str">
        <f>_xlfn.XLOOKUP(A9,satellite_programs!A:A,satellite_programs!N:N)</f>
        <v>Retired</v>
      </c>
    </row>
    <row r="10" spans="1:12" x14ac:dyDescent="0.5">
      <c r="A10" s="1" t="s">
        <v>21</v>
      </c>
      <c r="B10" s="1" t="s">
        <v>22</v>
      </c>
      <c r="C10" s="1" t="s">
        <v>23</v>
      </c>
      <c r="D10" s="1">
        <v>2006</v>
      </c>
      <c r="E10" s="1" t="s">
        <v>28</v>
      </c>
      <c r="F10" s="1">
        <v>0</v>
      </c>
      <c r="G10" s="1">
        <v>0</v>
      </c>
      <c r="H10" s="1">
        <v>40.799999999999997</v>
      </c>
      <c r="I10" s="1">
        <v>17.55</v>
      </c>
      <c r="J10" s="1">
        <v>0</v>
      </c>
      <c r="K10" s="1">
        <f t="shared" si="0"/>
        <v>58.349999999999994</v>
      </c>
      <c r="L10" s="1" t="str">
        <f>_xlfn.XLOOKUP(A10,satellite_programs!A:A,satellite_programs!N:N)</f>
        <v>Retired</v>
      </c>
    </row>
    <row r="11" spans="1:12" x14ac:dyDescent="0.5">
      <c r="A11" s="1" t="s">
        <v>21</v>
      </c>
      <c r="B11" s="1" t="s">
        <v>22</v>
      </c>
      <c r="C11" s="1" t="s">
        <v>23</v>
      </c>
      <c r="D11" s="1">
        <v>2007</v>
      </c>
      <c r="E11" s="1" t="s">
        <v>28</v>
      </c>
      <c r="F11" s="1">
        <v>0</v>
      </c>
      <c r="G11" s="1">
        <v>0</v>
      </c>
      <c r="H11" s="1">
        <v>40.799999999999997</v>
      </c>
      <c r="I11" s="1">
        <v>18.059999999999999</v>
      </c>
      <c r="J11" s="1">
        <v>0</v>
      </c>
      <c r="K11" s="1">
        <f t="shared" si="0"/>
        <v>58.86</v>
      </c>
      <c r="L11" s="1" t="str">
        <f>_xlfn.XLOOKUP(A11,satellite_programs!A:A,satellite_programs!N:N)</f>
        <v>Retired</v>
      </c>
    </row>
    <row r="12" spans="1:12" x14ac:dyDescent="0.5">
      <c r="A12" s="1" t="s">
        <v>21</v>
      </c>
      <c r="B12" s="1" t="s">
        <v>22</v>
      </c>
      <c r="C12" s="1" t="s">
        <v>23</v>
      </c>
      <c r="D12" s="1">
        <v>2008</v>
      </c>
      <c r="E12" s="1" t="s">
        <v>28</v>
      </c>
      <c r="F12" s="1">
        <v>0</v>
      </c>
      <c r="G12" s="1">
        <v>0</v>
      </c>
      <c r="H12" s="1">
        <v>40.799999999999997</v>
      </c>
      <c r="I12" s="1">
        <v>18.57</v>
      </c>
      <c r="J12" s="1">
        <v>0</v>
      </c>
      <c r="K12" s="1">
        <f t="shared" si="0"/>
        <v>59.37</v>
      </c>
      <c r="L12" s="1" t="str">
        <f>_xlfn.XLOOKUP(A12,satellite_programs!A:A,satellite_programs!N:N)</f>
        <v>Retired</v>
      </c>
    </row>
    <row r="13" spans="1:12" x14ac:dyDescent="0.5">
      <c r="A13" s="1" t="s">
        <v>21</v>
      </c>
      <c r="B13" s="1" t="s">
        <v>22</v>
      </c>
      <c r="C13" s="1" t="s">
        <v>23</v>
      </c>
      <c r="D13" s="1">
        <v>2009</v>
      </c>
      <c r="E13" s="1" t="s">
        <v>28</v>
      </c>
      <c r="F13" s="1">
        <v>0</v>
      </c>
      <c r="G13" s="1">
        <v>0</v>
      </c>
      <c r="H13" s="1">
        <v>40.799999999999997</v>
      </c>
      <c r="I13" s="1">
        <v>19.079999999999998</v>
      </c>
      <c r="J13" s="1">
        <v>0</v>
      </c>
      <c r="K13" s="1">
        <f t="shared" si="0"/>
        <v>59.879999999999995</v>
      </c>
      <c r="L13" s="1" t="str">
        <f>_xlfn.XLOOKUP(A13,satellite_programs!A:A,satellite_programs!N:N)</f>
        <v>Retired</v>
      </c>
    </row>
    <row r="14" spans="1:12" x14ac:dyDescent="0.5">
      <c r="A14" s="1" t="s">
        <v>21</v>
      </c>
      <c r="B14" s="1" t="s">
        <v>22</v>
      </c>
      <c r="C14" s="1" t="s">
        <v>23</v>
      </c>
      <c r="D14" s="1">
        <v>2010</v>
      </c>
      <c r="E14" s="1" t="s">
        <v>28</v>
      </c>
      <c r="F14" s="1">
        <v>0</v>
      </c>
      <c r="G14" s="1">
        <v>0</v>
      </c>
      <c r="H14" s="1">
        <v>40.799999999999997</v>
      </c>
      <c r="I14" s="1">
        <v>19.600000000000001</v>
      </c>
      <c r="J14" s="1">
        <v>0</v>
      </c>
      <c r="K14" s="1">
        <f t="shared" si="0"/>
        <v>60.4</v>
      </c>
      <c r="L14" s="1" t="str">
        <f>_xlfn.XLOOKUP(A14,satellite_programs!A:A,satellite_programs!N:N)</f>
        <v>Retired</v>
      </c>
    </row>
    <row r="15" spans="1:12" x14ac:dyDescent="0.5">
      <c r="A15" s="1" t="s">
        <v>21</v>
      </c>
      <c r="B15" s="1" t="s">
        <v>22</v>
      </c>
      <c r="C15" s="1" t="s">
        <v>23</v>
      </c>
      <c r="D15" s="1">
        <v>2011</v>
      </c>
      <c r="E15" s="1" t="s">
        <v>28</v>
      </c>
      <c r="F15" s="1">
        <v>0</v>
      </c>
      <c r="G15" s="1">
        <v>0</v>
      </c>
      <c r="H15" s="1">
        <v>40.799999999999997</v>
      </c>
      <c r="I15" s="1">
        <v>20.11</v>
      </c>
      <c r="J15" s="1">
        <v>0</v>
      </c>
      <c r="K15" s="1">
        <f t="shared" si="0"/>
        <v>60.91</v>
      </c>
      <c r="L15" s="1" t="str">
        <f>_xlfn.XLOOKUP(A15,satellite_programs!A:A,satellite_programs!N:N)</f>
        <v>Retired</v>
      </c>
    </row>
    <row r="16" spans="1:12" x14ac:dyDescent="0.5">
      <c r="A16" s="1" t="s">
        <v>21</v>
      </c>
      <c r="B16" s="1" t="s">
        <v>22</v>
      </c>
      <c r="C16" s="1" t="s">
        <v>23</v>
      </c>
      <c r="D16" s="1">
        <v>2012</v>
      </c>
      <c r="E16" s="1" t="s">
        <v>28</v>
      </c>
      <c r="F16" s="1">
        <v>0</v>
      </c>
      <c r="G16" s="1">
        <v>0</v>
      </c>
      <c r="H16" s="1">
        <v>40.799999999999997</v>
      </c>
      <c r="I16" s="1">
        <v>20.62</v>
      </c>
      <c r="J16" s="1">
        <v>0</v>
      </c>
      <c r="K16" s="1">
        <f t="shared" si="0"/>
        <v>61.42</v>
      </c>
      <c r="L16" s="1" t="str">
        <f>_xlfn.XLOOKUP(A16,satellite_programs!A:A,satellite_programs!N:N)</f>
        <v>Retired</v>
      </c>
    </row>
    <row r="17" spans="1:12" x14ac:dyDescent="0.5">
      <c r="A17" s="1" t="s">
        <v>21</v>
      </c>
      <c r="B17" s="1" t="s">
        <v>22</v>
      </c>
      <c r="C17" s="1" t="s">
        <v>23</v>
      </c>
      <c r="D17" s="1">
        <v>2013</v>
      </c>
      <c r="E17" s="1" t="s">
        <v>28</v>
      </c>
      <c r="F17" s="1">
        <v>0</v>
      </c>
      <c r="G17" s="1">
        <v>0</v>
      </c>
      <c r="H17" s="1">
        <v>40.799999999999997</v>
      </c>
      <c r="I17" s="1">
        <v>21.13</v>
      </c>
      <c r="J17" s="1">
        <v>0</v>
      </c>
      <c r="K17" s="1">
        <f t="shared" si="0"/>
        <v>61.929999999999993</v>
      </c>
      <c r="L17" s="1" t="str">
        <f>_xlfn.XLOOKUP(A17,satellite_programs!A:A,satellite_programs!N:N)</f>
        <v>Retired</v>
      </c>
    </row>
    <row r="18" spans="1:12" x14ac:dyDescent="0.5">
      <c r="A18" s="1" t="s">
        <v>21</v>
      </c>
      <c r="B18" s="1" t="s">
        <v>22</v>
      </c>
      <c r="C18" s="1" t="s">
        <v>23</v>
      </c>
      <c r="D18" s="1">
        <v>2014</v>
      </c>
      <c r="E18" s="1" t="s">
        <v>28</v>
      </c>
      <c r="F18" s="1">
        <v>0</v>
      </c>
      <c r="G18" s="1">
        <v>0</v>
      </c>
      <c r="H18" s="1">
        <v>40.799999999999997</v>
      </c>
      <c r="I18" s="1">
        <v>21.64</v>
      </c>
      <c r="J18" s="1">
        <v>0</v>
      </c>
      <c r="K18" s="1">
        <f t="shared" si="0"/>
        <v>62.44</v>
      </c>
      <c r="L18" s="1" t="str">
        <f>_xlfn.XLOOKUP(A18,satellite_programs!A:A,satellite_programs!N:N)</f>
        <v>Retired</v>
      </c>
    </row>
    <row r="19" spans="1:12" x14ac:dyDescent="0.5">
      <c r="A19" s="1" t="s">
        <v>21</v>
      </c>
      <c r="B19" s="1" t="s">
        <v>22</v>
      </c>
      <c r="C19" s="1" t="s">
        <v>23</v>
      </c>
      <c r="D19" s="1">
        <v>2015</v>
      </c>
      <c r="E19" s="1" t="s">
        <v>28</v>
      </c>
      <c r="F19" s="1">
        <v>0</v>
      </c>
      <c r="G19" s="1">
        <v>0</v>
      </c>
      <c r="H19" s="1">
        <v>40.799999999999997</v>
      </c>
      <c r="I19" s="1">
        <v>22.15</v>
      </c>
      <c r="J19" s="1">
        <v>0</v>
      </c>
      <c r="K19" s="1">
        <f t="shared" si="0"/>
        <v>62.949999999999996</v>
      </c>
      <c r="L19" s="1" t="str">
        <f>_xlfn.XLOOKUP(A19,satellite_programs!A:A,satellite_programs!N:N)</f>
        <v>Retired</v>
      </c>
    </row>
    <row r="20" spans="1:12" x14ac:dyDescent="0.5">
      <c r="A20" s="1" t="s">
        <v>21</v>
      </c>
      <c r="B20" s="1" t="s">
        <v>22</v>
      </c>
      <c r="C20" s="1" t="s">
        <v>23</v>
      </c>
      <c r="D20" s="1">
        <v>2016</v>
      </c>
      <c r="E20" s="1" t="s">
        <v>28</v>
      </c>
      <c r="F20" s="1">
        <v>0</v>
      </c>
      <c r="G20" s="1">
        <v>0</v>
      </c>
      <c r="H20" s="1">
        <v>40.799999999999997</v>
      </c>
      <c r="I20" s="1">
        <v>22.66</v>
      </c>
      <c r="J20" s="1">
        <v>0</v>
      </c>
      <c r="K20" s="1">
        <f t="shared" si="0"/>
        <v>63.459999999999994</v>
      </c>
      <c r="L20" s="1" t="str">
        <f>_xlfn.XLOOKUP(A20,satellite_programs!A:A,satellite_programs!N:N)</f>
        <v>Retired</v>
      </c>
    </row>
    <row r="21" spans="1:12" x14ac:dyDescent="0.5">
      <c r="A21" s="1" t="s">
        <v>21</v>
      </c>
      <c r="B21" s="1" t="s">
        <v>22</v>
      </c>
      <c r="C21" s="1" t="s">
        <v>23</v>
      </c>
      <c r="D21" s="1">
        <v>2017</v>
      </c>
      <c r="E21" s="1" t="s">
        <v>28</v>
      </c>
      <c r="F21" s="1">
        <v>0</v>
      </c>
      <c r="G21" s="1">
        <v>0</v>
      </c>
      <c r="H21" s="1">
        <v>40.799999999999997</v>
      </c>
      <c r="I21" s="1">
        <v>23.17</v>
      </c>
      <c r="J21" s="1">
        <v>0</v>
      </c>
      <c r="K21" s="1">
        <f t="shared" si="0"/>
        <v>63.97</v>
      </c>
      <c r="L21" s="1" t="str">
        <f>_xlfn.XLOOKUP(A21,satellite_programs!A:A,satellite_programs!N:N)</f>
        <v>Retired</v>
      </c>
    </row>
    <row r="22" spans="1:12" x14ac:dyDescent="0.5">
      <c r="A22" s="1" t="s">
        <v>21</v>
      </c>
      <c r="B22" s="1" t="s">
        <v>22</v>
      </c>
      <c r="C22" s="1" t="s">
        <v>23</v>
      </c>
      <c r="D22" s="1">
        <v>2018</v>
      </c>
      <c r="E22" s="1" t="s">
        <v>28</v>
      </c>
      <c r="F22" s="1">
        <v>0</v>
      </c>
      <c r="G22" s="1">
        <v>0</v>
      </c>
      <c r="H22" s="1">
        <v>40.799999999999997</v>
      </c>
      <c r="I22" s="1">
        <v>23.69</v>
      </c>
      <c r="J22" s="1">
        <v>0</v>
      </c>
      <c r="K22" s="1">
        <f t="shared" si="0"/>
        <v>64.489999999999995</v>
      </c>
      <c r="L22" s="1" t="str">
        <f>_xlfn.XLOOKUP(A22,satellite_programs!A:A,satellite_programs!N:N)</f>
        <v>Retired</v>
      </c>
    </row>
    <row r="23" spans="1:12" x14ac:dyDescent="0.5">
      <c r="A23" s="1" t="s">
        <v>21</v>
      </c>
      <c r="B23" s="1" t="s">
        <v>22</v>
      </c>
      <c r="C23" s="1" t="s">
        <v>23</v>
      </c>
      <c r="D23" s="1">
        <v>2019</v>
      </c>
      <c r="E23" s="1" t="s">
        <v>28</v>
      </c>
      <c r="F23" s="1">
        <v>0</v>
      </c>
      <c r="G23" s="1">
        <v>0</v>
      </c>
      <c r="H23" s="1">
        <v>40.799999999999997</v>
      </c>
      <c r="I23" s="1">
        <v>24.2</v>
      </c>
      <c r="J23" s="1">
        <v>0</v>
      </c>
      <c r="K23" s="1">
        <f t="shared" si="0"/>
        <v>65</v>
      </c>
      <c r="L23" s="1" t="str">
        <f>_xlfn.XLOOKUP(A23,satellite_programs!A:A,satellite_programs!N:N)</f>
        <v>Retired</v>
      </c>
    </row>
    <row r="24" spans="1:12" x14ac:dyDescent="0.5">
      <c r="A24" s="1" t="s">
        <v>21</v>
      </c>
      <c r="B24" s="1" t="s">
        <v>22</v>
      </c>
      <c r="C24" s="1" t="s">
        <v>23</v>
      </c>
      <c r="D24" s="1">
        <v>2021</v>
      </c>
      <c r="E24" s="1" t="s">
        <v>103</v>
      </c>
      <c r="F24" s="1">
        <v>0</v>
      </c>
      <c r="G24" s="1">
        <v>0</v>
      </c>
      <c r="H24" s="1">
        <v>0</v>
      </c>
      <c r="I24" s="1">
        <v>0</v>
      </c>
      <c r="J24" s="1">
        <v>21.7</v>
      </c>
      <c r="K24" s="1">
        <f t="shared" si="0"/>
        <v>21.7</v>
      </c>
      <c r="L24" s="1" t="str">
        <f>_xlfn.XLOOKUP(A24,satellite_programs!A:A,satellite_programs!N:N)</f>
        <v>Retired</v>
      </c>
    </row>
    <row r="25" spans="1:12" x14ac:dyDescent="0.5">
      <c r="A25" s="1" t="s">
        <v>26</v>
      </c>
      <c r="B25" s="1" t="s">
        <v>22</v>
      </c>
      <c r="C25" s="1" t="s">
        <v>23</v>
      </c>
      <c r="D25" s="1">
        <v>2001</v>
      </c>
      <c r="E25" s="1" t="s">
        <v>104</v>
      </c>
      <c r="F25" s="1">
        <v>16.29</v>
      </c>
      <c r="G25" s="1">
        <v>0</v>
      </c>
      <c r="H25" s="1">
        <v>0</v>
      </c>
      <c r="I25" s="1">
        <v>0</v>
      </c>
      <c r="J25" s="1">
        <v>0</v>
      </c>
      <c r="K25" s="1">
        <f t="shared" si="0"/>
        <v>16.29</v>
      </c>
      <c r="L25" s="1" t="str">
        <f>_xlfn.XLOOKUP(A25,satellite_programs!A:A,satellite_programs!N:N)</f>
        <v>Retired</v>
      </c>
    </row>
    <row r="26" spans="1:12" x14ac:dyDescent="0.5">
      <c r="A26" s="1" t="s">
        <v>26</v>
      </c>
      <c r="B26" s="1" t="s">
        <v>22</v>
      </c>
      <c r="C26" s="1" t="s">
        <v>23</v>
      </c>
      <c r="D26" s="1">
        <v>2002</v>
      </c>
      <c r="E26" s="1" t="s">
        <v>104</v>
      </c>
      <c r="F26" s="1">
        <v>32.58</v>
      </c>
      <c r="G26" s="1">
        <v>0</v>
      </c>
      <c r="H26" s="1">
        <v>0</v>
      </c>
      <c r="I26" s="1">
        <v>0</v>
      </c>
      <c r="J26" s="1">
        <v>0</v>
      </c>
      <c r="K26" s="1">
        <f t="shared" si="0"/>
        <v>32.58</v>
      </c>
      <c r="L26" s="1" t="str">
        <f>_xlfn.XLOOKUP(A26,satellite_programs!A:A,satellite_programs!N:N)</f>
        <v>Retired</v>
      </c>
    </row>
    <row r="27" spans="1:12" x14ac:dyDescent="0.5">
      <c r="A27" s="1" t="s">
        <v>26</v>
      </c>
      <c r="B27" s="1" t="s">
        <v>22</v>
      </c>
      <c r="C27" s="1" t="s">
        <v>23</v>
      </c>
      <c r="D27" s="1">
        <v>2003</v>
      </c>
      <c r="E27" s="1" t="s">
        <v>104</v>
      </c>
      <c r="F27" s="1">
        <v>58.64</v>
      </c>
      <c r="G27" s="1">
        <v>0</v>
      </c>
      <c r="H27" s="1">
        <v>0</v>
      </c>
      <c r="I27" s="1">
        <v>0</v>
      </c>
      <c r="J27" s="1">
        <v>0</v>
      </c>
      <c r="K27" s="1">
        <f t="shared" si="0"/>
        <v>58.64</v>
      </c>
      <c r="L27" s="1" t="str">
        <f>_xlfn.XLOOKUP(A27,satellite_programs!A:A,satellite_programs!N:N)</f>
        <v>Retired</v>
      </c>
    </row>
    <row r="28" spans="1:12" x14ac:dyDescent="0.5">
      <c r="A28" s="1" t="s">
        <v>26</v>
      </c>
      <c r="B28" s="1" t="s">
        <v>22</v>
      </c>
      <c r="C28" s="1" t="s">
        <v>23</v>
      </c>
      <c r="D28" s="1">
        <v>2004</v>
      </c>
      <c r="E28" s="1" t="s">
        <v>104</v>
      </c>
      <c r="F28" s="1">
        <v>71.67</v>
      </c>
      <c r="G28" s="1">
        <v>0</v>
      </c>
      <c r="H28" s="1">
        <v>0</v>
      </c>
      <c r="I28" s="1">
        <v>0</v>
      </c>
      <c r="J28" s="1">
        <v>0</v>
      </c>
      <c r="K28" s="1">
        <f t="shared" si="0"/>
        <v>71.67</v>
      </c>
      <c r="L28" s="1" t="str">
        <f>_xlfn.XLOOKUP(A28,satellite_programs!A:A,satellite_programs!N:N)</f>
        <v>Retired</v>
      </c>
    </row>
    <row r="29" spans="1:12" x14ac:dyDescent="0.5">
      <c r="A29" s="1" t="s">
        <v>26</v>
      </c>
      <c r="B29" s="1" t="s">
        <v>22</v>
      </c>
      <c r="C29" s="1" t="s">
        <v>23</v>
      </c>
      <c r="D29" s="1">
        <v>2005</v>
      </c>
      <c r="E29" s="1" t="s">
        <v>104</v>
      </c>
      <c r="F29" s="1">
        <v>65.16</v>
      </c>
      <c r="G29" s="1">
        <v>0</v>
      </c>
      <c r="H29" s="1">
        <v>0</v>
      </c>
      <c r="I29" s="1">
        <v>0</v>
      </c>
      <c r="J29" s="1">
        <v>0</v>
      </c>
      <c r="K29" s="1">
        <f t="shared" si="0"/>
        <v>65.16</v>
      </c>
      <c r="L29" s="1" t="str">
        <f>_xlfn.XLOOKUP(A29,satellite_programs!A:A,satellite_programs!N:N)</f>
        <v>Retired</v>
      </c>
    </row>
    <row r="30" spans="1:12" x14ac:dyDescent="0.5">
      <c r="A30" s="1" t="s">
        <v>26</v>
      </c>
      <c r="B30" s="1" t="s">
        <v>22</v>
      </c>
      <c r="C30" s="1" t="s">
        <v>23</v>
      </c>
      <c r="D30" s="1">
        <v>2006</v>
      </c>
      <c r="E30" s="1" t="s">
        <v>104</v>
      </c>
      <c r="F30" s="1">
        <v>42.35</v>
      </c>
      <c r="G30" s="1">
        <v>68.81</v>
      </c>
      <c r="H30" s="1">
        <v>0</v>
      </c>
      <c r="I30" s="1">
        <v>0</v>
      </c>
      <c r="J30" s="1">
        <v>0</v>
      </c>
      <c r="K30" s="1">
        <f t="shared" si="0"/>
        <v>111.16</v>
      </c>
      <c r="L30" s="1" t="str">
        <f>_xlfn.XLOOKUP(A30,satellite_programs!A:A,satellite_programs!N:N)</f>
        <v>Retired</v>
      </c>
    </row>
    <row r="31" spans="1:12" x14ac:dyDescent="0.5">
      <c r="A31" s="1" t="s">
        <v>26</v>
      </c>
      <c r="B31" s="1" t="s">
        <v>22</v>
      </c>
      <c r="C31" s="1" t="s">
        <v>23</v>
      </c>
      <c r="D31" s="1">
        <v>2007</v>
      </c>
      <c r="E31" s="1" t="s">
        <v>104</v>
      </c>
      <c r="F31" s="1">
        <v>26.07</v>
      </c>
      <c r="G31" s="1">
        <v>56.29</v>
      </c>
      <c r="H31" s="1">
        <v>0</v>
      </c>
      <c r="I31" s="1">
        <v>0</v>
      </c>
      <c r="J31" s="1">
        <v>0</v>
      </c>
      <c r="K31" s="1">
        <f t="shared" si="0"/>
        <v>82.36</v>
      </c>
      <c r="L31" s="1" t="str">
        <f>_xlfn.XLOOKUP(A31,satellite_programs!A:A,satellite_programs!N:N)</f>
        <v>Retired</v>
      </c>
    </row>
    <row r="32" spans="1:12" x14ac:dyDescent="0.5">
      <c r="A32" s="1" t="s">
        <v>26</v>
      </c>
      <c r="B32" s="1" t="s">
        <v>22</v>
      </c>
      <c r="C32" s="1" t="s">
        <v>23</v>
      </c>
      <c r="D32" s="1">
        <v>2008</v>
      </c>
      <c r="E32" s="1" t="s">
        <v>28</v>
      </c>
      <c r="F32" s="1">
        <v>0</v>
      </c>
      <c r="G32" s="1">
        <v>0</v>
      </c>
      <c r="H32" s="1">
        <v>43.6</v>
      </c>
      <c r="I32" s="1">
        <v>18.12</v>
      </c>
      <c r="J32" s="1">
        <v>0</v>
      </c>
      <c r="K32" s="1">
        <f t="shared" si="0"/>
        <v>61.72</v>
      </c>
      <c r="L32" s="1" t="str">
        <f>_xlfn.XLOOKUP(A32,satellite_programs!A:A,satellite_programs!N:N)</f>
        <v>Retired</v>
      </c>
    </row>
    <row r="33" spans="1:12" x14ac:dyDescent="0.5">
      <c r="A33" s="1" t="s">
        <v>26</v>
      </c>
      <c r="B33" s="1" t="s">
        <v>22</v>
      </c>
      <c r="C33" s="1" t="s">
        <v>23</v>
      </c>
      <c r="D33" s="1">
        <v>2009</v>
      </c>
      <c r="E33" s="1" t="s">
        <v>28</v>
      </c>
      <c r="F33" s="1">
        <v>0</v>
      </c>
      <c r="G33" s="1">
        <v>0</v>
      </c>
      <c r="H33" s="1">
        <v>43.6</v>
      </c>
      <c r="I33" s="1">
        <v>18.66</v>
      </c>
      <c r="J33" s="1">
        <v>0</v>
      </c>
      <c r="K33" s="1">
        <f t="shared" si="0"/>
        <v>62.260000000000005</v>
      </c>
      <c r="L33" s="1" t="str">
        <f>_xlfn.XLOOKUP(A33,satellite_programs!A:A,satellite_programs!N:N)</f>
        <v>Retired</v>
      </c>
    </row>
    <row r="34" spans="1:12" x14ac:dyDescent="0.5">
      <c r="A34" s="1" t="s">
        <v>26</v>
      </c>
      <c r="B34" s="1" t="s">
        <v>22</v>
      </c>
      <c r="C34" s="1" t="s">
        <v>23</v>
      </c>
      <c r="D34" s="1">
        <v>2010</v>
      </c>
      <c r="E34" s="1" t="s">
        <v>28</v>
      </c>
      <c r="F34" s="1">
        <v>0</v>
      </c>
      <c r="G34" s="1">
        <v>0</v>
      </c>
      <c r="H34" s="1">
        <v>43.6</v>
      </c>
      <c r="I34" s="1">
        <v>19.21</v>
      </c>
      <c r="J34" s="1">
        <v>0</v>
      </c>
      <c r="K34" s="1">
        <f t="shared" si="0"/>
        <v>62.81</v>
      </c>
      <c r="L34" s="1" t="str">
        <f>_xlfn.XLOOKUP(A34,satellite_programs!A:A,satellite_programs!N:N)</f>
        <v>Retired</v>
      </c>
    </row>
    <row r="35" spans="1:12" x14ac:dyDescent="0.5">
      <c r="A35" s="1" t="s">
        <v>26</v>
      </c>
      <c r="B35" s="1" t="s">
        <v>22</v>
      </c>
      <c r="C35" s="1" t="s">
        <v>23</v>
      </c>
      <c r="D35" s="1">
        <v>2011</v>
      </c>
      <c r="E35" s="1" t="s">
        <v>28</v>
      </c>
      <c r="F35" s="1">
        <v>0</v>
      </c>
      <c r="G35" s="1">
        <v>0</v>
      </c>
      <c r="H35" s="1">
        <v>43.6</v>
      </c>
      <c r="I35" s="1">
        <v>19.75</v>
      </c>
      <c r="J35" s="1">
        <v>0</v>
      </c>
      <c r="K35" s="1">
        <f t="shared" si="0"/>
        <v>63.35</v>
      </c>
      <c r="L35" s="1" t="str">
        <f>_xlfn.XLOOKUP(A35,satellite_programs!A:A,satellite_programs!N:N)</f>
        <v>Retired</v>
      </c>
    </row>
    <row r="36" spans="1:12" x14ac:dyDescent="0.5">
      <c r="A36" s="1" t="s">
        <v>26</v>
      </c>
      <c r="B36" s="1" t="s">
        <v>22</v>
      </c>
      <c r="C36" s="1" t="s">
        <v>23</v>
      </c>
      <c r="D36" s="1">
        <v>2012</v>
      </c>
      <c r="E36" s="1" t="s">
        <v>28</v>
      </c>
      <c r="F36" s="1">
        <v>0</v>
      </c>
      <c r="G36" s="1">
        <v>0</v>
      </c>
      <c r="H36" s="1">
        <v>43.6</v>
      </c>
      <c r="I36" s="1">
        <v>20.29</v>
      </c>
      <c r="J36" s="1">
        <v>0</v>
      </c>
      <c r="K36" s="1">
        <f t="shared" si="0"/>
        <v>63.89</v>
      </c>
      <c r="L36" s="1" t="str">
        <f>_xlfn.XLOOKUP(A36,satellite_programs!A:A,satellite_programs!N:N)</f>
        <v>Retired</v>
      </c>
    </row>
    <row r="37" spans="1:12" x14ac:dyDescent="0.5">
      <c r="A37" s="1" t="s">
        <v>26</v>
      </c>
      <c r="B37" s="1" t="s">
        <v>22</v>
      </c>
      <c r="C37" s="1" t="s">
        <v>23</v>
      </c>
      <c r="D37" s="1">
        <v>2013</v>
      </c>
      <c r="E37" s="1" t="s">
        <v>28</v>
      </c>
      <c r="F37" s="1">
        <v>0</v>
      </c>
      <c r="G37" s="1">
        <v>0</v>
      </c>
      <c r="H37" s="1">
        <v>43.6</v>
      </c>
      <c r="I37" s="1">
        <v>20.84</v>
      </c>
      <c r="J37" s="1">
        <v>0</v>
      </c>
      <c r="K37" s="1">
        <f t="shared" si="0"/>
        <v>64.44</v>
      </c>
      <c r="L37" s="1" t="str">
        <f>_xlfn.XLOOKUP(A37,satellite_programs!A:A,satellite_programs!N:N)</f>
        <v>Retired</v>
      </c>
    </row>
    <row r="38" spans="1:12" x14ac:dyDescent="0.5">
      <c r="A38" s="1" t="s">
        <v>26</v>
      </c>
      <c r="B38" s="1" t="s">
        <v>22</v>
      </c>
      <c r="C38" s="1" t="s">
        <v>23</v>
      </c>
      <c r="D38" s="1">
        <v>2014</v>
      </c>
      <c r="E38" s="1" t="s">
        <v>28</v>
      </c>
      <c r="F38" s="1">
        <v>0</v>
      </c>
      <c r="G38" s="1">
        <v>0</v>
      </c>
      <c r="H38" s="1">
        <v>43.6</v>
      </c>
      <c r="I38" s="1">
        <v>21.38</v>
      </c>
      <c r="J38" s="1">
        <v>0</v>
      </c>
      <c r="K38" s="1">
        <f t="shared" si="0"/>
        <v>64.98</v>
      </c>
      <c r="L38" s="1" t="str">
        <f>_xlfn.XLOOKUP(A38,satellite_programs!A:A,satellite_programs!N:N)</f>
        <v>Retired</v>
      </c>
    </row>
    <row r="39" spans="1:12" x14ac:dyDescent="0.5">
      <c r="A39" s="1" t="s">
        <v>26</v>
      </c>
      <c r="B39" s="1" t="s">
        <v>22</v>
      </c>
      <c r="C39" s="1" t="s">
        <v>23</v>
      </c>
      <c r="D39" s="1">
        <v>2015</v>
      </c>
      <c r="E39" s="1" t="s">
        <v>28</v>
      </c>
      <c r="F39" s="1">
        <v>0</v>
      </c>
      <c r="G39" s="1">
        <v>0</v>
      </c>
      <c r="H39" s="1">
        <v>43.6</v>
      </c>
      <c r="I39" s="1">
        <v>21.93</v>
      </c>
      <c r="J39" s="1">
        <v>0</v>
      </c>
      <c r="K39" s="1">
        <f t="shared" si="0"/>
        <v>65.53</v>
      </c>
      <c r="L39" s="1" t="str">
        <f>_xlfn.XLOOKUP(A39,satellite_programs!A:A,satellite_programs!N:N)</f>
        <v>Retired</v>
      </c>
    </row>
    <row r="40" spans="1:12" x14ac:dyDescent="0.5">
      <c r="A40" s="1" t="s">
        <v>26</v>
      </c>
      <c r="B40" s="1" t="s">
        <v>22</v>
      </c>
      <c r="C40" s="1" t="s">
        <v>23</v>
      </c>
      <c r="D40" s="1">
        <v>2016</v>
      </c>
      <c r="E40" s="1" t="s">
        <v>28</v>
      </c>
      <c r="F40" s="1">
        <v>0</v>
      </c>
      <c r="G40" s="1">
        <v>0</v>
      </c>
      <c r="H40" s="1">
        <v>43.6</v>
      </c>
      <c r="I40" s="1">
        <v>22.47</v>
      </c>
      <c r="J40" s="1">
        <v>0</v>
      </c>
      <c r="K40" s="1">
        <f t="shared" si="0"/>
        <v>66.069999999999993</v>
      </c>
      <c r="L40" s="1" t="str">
        <f>_xlfn.XLOOKUP(A40,satellite_programs!A:A,satellite_programs!N:N)</f>
        <v>Retired</v>
      </c>
    </row>
    <row r="41" spans="1:12" x14ac:dyDescent="0.5">
      <c r="A41" s="1" t="s">
        <v>26</v>
      </c>
      <c r="B41" s="1" t="s">
        <v>22</v>
      </c>
      <c r="C41" s="1" t="s">
        <v>23</v>
      </c>
      <c r="D41" s="1">
        <v>2017</v>
      </c>
      <c r="E41" s="1" t="s">
        <v>28</v>
      </c>
      <c r="F41" s="1">
        <v>0</v>
      </c>
      <c r="G41" s="1">
        <v>0</v>
      </c>
      <c r="H41" s="1">
        <v>43.6</v>
      </c>
      <c r="I41" s="1">
        <v>23.01</v>
      </c>
      <c r="J41" s="1">
        <v>0</v>
      </c>
      <c r="K41" s="1">
        <f t="shared" si="0"/>
        <v>66.61</v>
      </c>
      <c r="L41" s="1" t="str">
        <f>_xlfn.XLOOKUP(A41,satellite_programs!A:A,satellite_programs!N:N)</f>
        <v>Retired</v>
      </c>
    </row>
    <row r="42" spans="1:12" x14ac:dyDescent="0.5">
      <c r="A42" s="1" t="s">
        <v>26</v>
      </c>
      <c r="B42" s="1" t="s">
        <v>22</v>
      </c>
      <c r="C42" s="1" t="s">
        <v>23</v>
      </c>
      <c r="D42" s="1">
        <v>2018</v>
      </c>
      <c r="E42" s="1" t="s">
        <v>28</v>
      </c>
      <c r="F42" s="1">
        <v>0</v>
      </c>
      <c r="G42" s="1">
        <v>0</v>
      </c>
      <c r="H42" s="1">
        <v>43.6</v>
      </c>
      <c r="I42" s="1">
        <v>23.56</v>
      </c>
      <c r="J42" s="1">
        <v>0</v>
      </c>
      <c r="K42" s="1">
        <f t="shared" si="0"/>
        <v>67.16</v>
      </c>
      <c r="L42" s="1" t="str">
        <f>_xlfn.XLOOKUP(A42,satellite_programs!A:A,satellite_programs!N:N)</f>
        <v>Retired</v>
      </c>
    </row>
    <row r="43" spans="1:12" x14ac:dyDescent="0.5">
      <c r="A43" s="1" t="s">
        <v>26</v>
      </c>
      <c r="B43" s="1" t="s">
        <v>22</v>
      </c>
      <c r="C43" s="1" t="s">
        <v>23</v>
      </c>
      <c r="D43" s="1">
        <v>2019</v>
      </c>
      <c r="E43" s="1" t="s">
        <v>28</v>
      </c>
      <c r="F43" s="1">
        <v>0</v>
      </c>
      <c r="G43" s="1">
        <v>0</v>
      </c>
      <c r="H43" s="1">
        <v>43.6</v>
      </c>
      <c r="I43" s="1">
        <v>24.1</v>
      </c>
      <c r="J43" s="1">
        <v>0</v>
      </c>
      <c r="K43" s="1">
        <f t="shared" si="0"/>
        <v>67.7</v>
      </c>
      <c r="L43" s="1" t="str">
        <f>_xlfn.XLOOKUP(A43,satellite_programs!A:A,satellite_programs!N:N)</f>
        <v>Retired</v>
      </c>
    </row>
    <row r="44" spans="1:12" x14ac:dyDescent="0.5">
      <c r="A44" s="1" t="s">
        <v>26</v>
      </c>
      <c r="B44" s="1" t="s">
        <v>22</v>
      </c>
      <c r="C44" s="1" t="s">
        <v>23</v>
      </c>
      <c r="D44" s="1">
        <v>2020</v>
      </c>
      <c r="E44" s="1" t="s">
        <v>28</v>
      </c>
      <c r="F44" s="1">
        <v>0</v>
      </c>
      <c r="G44" s="1">
        <v>0</v>
      </c>
      <c r="H44" s="1">
        <v>43.6</v>
      </c>
      <c r="I44" s="1">
        <v>24.64</v>
      </c>
      <c r="J44" s="1">
        <v>0</v>
      </c>
      <c r="K44" s="1">
        <f t="shared" si="0"/>
        <v>68.240000000000009</v>
      </c>
      <c r="L44" s="1" t="str">
        <f>_xlfn.XLOOKUP(A44,satellite_programs!A:A,satellite_programs!N:N)</f>
        <v>Retired</v>
      </c>
    </row>
    <row r="45" spans="1:12" x14ac:dyDescent="0.5">
      <c r="A45" s="1" t="s">
        <v>26</v>
      </c>
      <c r="B45" s="1" t="s">
        <v>22</v>
      </c>
      <c r="C45" s="1" t="s">
        <v>23</v>
      </c>
      <c r="D45" s="1">
        <v>2021</v>
      </c>
      <c r="E45" s="1" t="s">
        <v>28</v>
      </c>
      <c r="F45" s="1">
        <v>0</v>
      </c>
      <c r="G45" s="1">
        <v>0</v>
      </c>
      <c r="H45" s="1">
        <v>43.6</v>
      </c>
      <c r="I45" s="1">
        <v>25.19</v>
      </c>
      <c r="J45" s="1">
        <v>0</v>
      </c>
      <c r="K45" s="1">
        <f t="shared" si="0"/>
        <v>68.790000000000006</v>
      </c>
      <c r="L45" s="1" t="str">
        <f>_xlfn.XLOOKUP(A45,satellite_programs!A:A,satellite_programs!N:N)</f>
        <v>Retired</v>
      </c>
    </row>
    <row r="46" spans="1:12" x14ac:dyDescent="0.5">
      <c r="A46" s="1" t="s">
        <v>26</v>
      </c>
      <c r="B46" s="1" t="s">
        <v>22</v>
      </c>
      <c r="C46" s="1" t="s">
        <v>23</v>
      </c>
      <c r="D46" s="1">
        <v>2022</v>
      </c>
      <c r="E46" s="1" t="s">
        <v>28</v>
      </c>
      <c r="F46" s="1">
        <v>0</v>
      </c>
      <c r="G46" s="1">
        <v>0</v>
      </c>
      <c r="H46" s="1">
        <v>43.6</v>
      </c>
      <c r="I46" s="1">
        <v>25.73</v>
      </c>
      <c r="J46" s="1">
        <v>0</v>
      </c>
      <c r="K46" s="1">
        <f t="shared" si="0"/>
        <v>69.33</v>
      </c>
      <c r="L46" s="1" t="str">
        <f>_xlfn.XLOOKUP(A46,satellite_programs!A:A,satellite_programs!N:N)</f>
        <v>Retired</v>
      </c>
    </row>
    <row r="47" spans="1:12" x14ac:dyDescent="0.5">
      <c r="A47" s="1" t="s">
        <v>26</v>
      </c>
      <c r="B47" s="1" t="s">
        <v>22</v>
      </c>
      <c r="C47" s="1" t="s">
        <v>23</v>
      </c>
      <c r="D47" s="1">
        <v>2024</v>
      </c>
      <c r="E47" s="1" t="s">
        <v>103</v>
      </c>
      <c r="F47" s="1">
        <v>0</v>
      </c>
      <c r="G47" s="1">
        <v>0</v>
      </c>
      <c r="H47" s="1">
        <v>0</v>
      </c>
      <c r="I47" s="1">
        <v>0</v>
      </c>
      <c r="J47" s="1">
        <v>22.2</v>
      </c>
      <c r="K47" s="1">
        <f t="shared" si="0"/>
        <v>22.2</v>
      </c>
      <c r="L47" s="1" t="str">
        <f>_xlfn.XLOOKUP(A47,satellite_programs!A:A,satellite_programs!N:N)</f>
        <v>Retired</v>
      </c>
    </row>
    <row r="48" spans="1:12" x14ac:dyDescent="0.5">
      <c r="A48" s="1" t="s">
        <v>27</v>
      </c>
      <c r="B48" s="1" t="s">
        <v>22</v>
      </c>
      <c r="C48" s="1" t="s">
        <v>23</v>
      </c>
      <c r="D48" s="1">
        <v>2004</v>
      </c>
      <c r="E48" s="1" t="s">
        <v>104</v>
      </c>
      <c r="F48" s="1">
        <v>19.2</v>
      </c>
      <c r="G48" s="1">
        <v>0</v>
      </c>
      <c r="H48" s="1">
        <v>0</v>
      </c>
      <c r="I48" s="1">
        <v>0</v>
      </c>
      <c r="J48" s="1">
        <v>0</v>
      </c>
      <c r="K48" s="1">
        <f t="shared" si="0"/>
        <v>19.2</v>
      </c>
      <c r="L48" s="1" t="str">
        <f>_xlfn.XLOOKUP(A48,satellite_programs!A:A,satellite_programs!N:N)</f>
        <v>Operations</v>
      </c>
    </row>
    <row r="49" spans="1:12" x14ac:dyDescent="0.5">
      <c r="A49" s="1" t="s">
        <v>27</v>
      </c>
      <c r="B49" s="1" t="s">
        <v>22</v>
      </c>
      <c r="C49" s="1" t="s">
        <v>23</v>
      </c>
      <c r="D49" s="1">
        <v>2005</v>
      </c>
      <c r="E49" s="1" t="s">
        <v>104</v>
      </c>
      <c r="F49" s="1">
        <v>38.4</v>
      </c>
      <c r="G49" s="1">
        <v>0</v>
      </c>
      <c r="H49" s="1">
        <v>0</v>
      </c>
      <c r="I49" s="1">
        <v>0</v>
      </c>
      <c r="J49" s="1">
        <v>0</v>
      </c>
      <c r="K49" s="1">
        <f t="shared" si="0"/>
        <v>38.4</v>
      </c>
      <c r="L49" s="1" t="str">
        <f>_xlfn.XLOOKUP(A49,satellite_programs!A:A,satellite_programs!N:N)</f>
        <v>Operations</v>
      </c>
    </row>
    <row r="50" spans="1:12" x14ac:dyDescent="0.5">
      <c r="A50" s="1" t="s">
        <v>27</v>
      </c>
      <c r="B50" s="1" t="s">
        <v>22</v>
      </c>
      <c r="C50" s="1" t="s">
        <v>23</v>
      </c>
      <c r="D50" s="1">
        <v>2006</v>
      </c>
      <c r="E50" s="1" t="s">
        <v>104</v>
      </c>
      <c r="F50" s="1">
        <v>69.12</v>
      </c>
      <c r="G50" s="1">
        <v>0</v>
      </c>
      <c r="H50" s="1">
        <v>0</v>
      </c>
      <c r="I50" s="1">
        <v>0</v>
      </c>
      <c r="J50" s="1">
        <v>0</v>
      </c>
      <c r="K50" s="1">
        <f t="shared" si="0"/>
        <v>69.12</v>
      </c>
      <c r="L50" s="1" t="str">
        <f>_xlfn.XLOOKUP(A50,satellite_programs!A:A,satellite_programs!N:N)</f>
        <v>Operations</v>
      </c>
    </row>
    <row r="51" spans="1:12" x14ac:dyDescent="0.5">
      <c r="A51" s="1" t="s">
        <v>27</v>
      </c>
      <c r="B51" s="1" t="s">
        <v>22</v>
      </c>
      <c r="C51" s="1" t="s">
        <v>23</v>
      </c>
      <c r="D51" s="1">
        <v>2007</v>
      </c>
      <c r="E51" s="1" t="s">
        <v>104</v>
      </c>
      <c r="F51" s="1">
        <v>84.48</v>
      </c>
      <c r="G51" s="1">
        <v>0</v>
      </c>
      <c r="H51" s="1">
        <v>0</v>
      </c>
      <c r="I51" s="1">
        <v>0</v>
      </c>
      <c r="J51" s="1">
        <v>0</v>
      </c>
      <c r="K51" s="1">
        <f t="shared" si="0"/>
        <v>84.48</v>
      </c>
      <c r="L51" s="1" t="str">
        <f>_xlfn.XLOOKUP(A51,satellite_programs!A:A,satellite_programs!N:N)</f>
        <v>Operations</v>
      </c>
    </row>
    <row r="52" spans="1:12" x14ac:dyDescent="0.5">
      <c r="A52" s="1" t="s">
        <v>27</v>
      </c>
      <c r="B52" s="1" t="s">
        <v>22</v>
      </c>
      <c r="C52" s="1" t="s">
        <v>23</v>
      </c>
      <c r="D52" s="1">
        <v>2008</v>
      </c>
      <c r="E52" s="1" t="s">
        <v>104</v>
      </c>
      <c r="F52" s="1">
        <v>76.8</v>
      </c>
      <c r="G52" s="1">
        <v>0</v>
      </c>
      <c r="H52" s="1">
        <v>0</v>
      </c>
      <c r="I52" s="1">
        <v>0</v>
      </c>
      <c r="J52" s="1">
        <v>0</v>
      </c>
      <c r="K52" s="1">
        <f t="shared" si="0"/>
        <v>76.8</v>
      </c>
      <c r="L52" s="1" t="str">
        <f>_xlfn.XLOOKUP(A52,satellite_programs!A:A,satellite_programs!N:N)</f>
        <v>Operations</v>
      </c>
    </row>
    <row r="53" spans="1:12" x14ac:dyDescent="0.5">
      <c r="A53" s="1" t="s">
        <v>27</v>
      </c>
      <c r="B53" s="1" t="s">
        <v>22</v>
      </c>
      <c r="C53" s="1" t="s">
        <v>23</v>
      </c>
      <c r="D53" s="1">
        <v>2009</v>
      </c>
      <c r="E53" s="1" t="s">
        <v>104</v>
      </c>
      <c r="F53" s="1">
        <v>49.92</v>
      </c>
      <c r="G53" s="1">
        <v>81.099999999999994</v>
      </c>
      <c r="H53" s="1">
        <v>0</v>
      </c>
      <c r="I53" s="1">
        <v>0</v>
      </c>
      <c r="J53" s="1">
        <v>0</v>
      </c>
      <c r="K53" s="1">
        <f t="shared" si="0"/>
        <v>131.01999999999998</v>
      </c>
      <c r="L53" s="1" t="str">
        <f>_xlfn.XLOOKUP(A53,satellite_programs!A:A,satellite_programs!N:N)</f>
        <v>Operations</v>
      </c>
    </row>
    <row r="54" spans="1:12" x14ac:dyDescent="0.5">
      <c r="A54" s="1" t="s">
        <v>27</v>
      </c>
      <c r="B54" s="1" t="s">
        <v>22</v>
      </c>
      <c r="C54" s="1" t="s">
        <v>23</v>
      </c>
      <c r="D54" s="1">
        <v>2010</v>
      </c>
      <c r="E54" s="1" t="s">
        <v>104</v>
      </c>
      <c r="F54" s="1">
        <v>30.74</v>
      </c>
      <c r="G54" s="1">
        <v>66.36</v>
      </c>
      <c r="H54" s="1">
        <v>0</v>
      </c>
      <c r="I54" s="1">
        <v>0</v>
      </c>
      <c r="J54" s="1">
        <v>0</v>
      </c>
      <c r="K54" s="1">
        <f t="shared" si="0"/>
        <v>97.1</v>
      </c>
      <c r="L54" s="1" t="str">
        <f>_xlfn.XLOOKUP(A54,satellite_programs!A:A,satellite_programs!N:N)</f>
        <v>Operations</v>
      </c>
    </row>
    <row r="55" spans="1:12" x14ac:dyDescent="0.5">
      <c r="A55" s="1" t="s">
        <v>27</v>
      </c>
      <c r="B55" s="1" t="s">
        <v>22</v>
      </c>
      <c r="C55" s="1" t="s">
        <v>23</v>
      </c>
      <c r="D55" s="1">
        <v>2011</v>
      </c>
      <c r="E55" s="1" t="s">
        <v>28</v>
      </c>
      <c r="F55" s="1">
        <v>0</v>
      </c>
      <c r="G55" s="1">
        <v>0</v>
      </c>
      <c r="H55" s="1">
        <v>45</v>
      </c>
      <c r="I55" s="1">
        <v>18.96</v>
      </c>
      <c r="J55" s="1">
        <v>0</v>
      </c>
      <c r="K55" s="1">
        <f t="shared" si="0"/>
        <v>63.96</v>
      </c>
      <c r="L55" s="1" t="str">
        <f>_xlfn.XLOOKUP(A55,satellite_programs!A:A,satellite_programs!N:N)</f>
        <v>Operations</v>
      </c>
    </row>
    <row r="56" spans="1:12" x14ac:dyDescent="0.5">
      <c r="A56" s="1" t="s">
        <v>27</v>
      </c>
      <c r="B56" s="1" t="s">
        <v>22</v>
      </c>
      <c r="C56" s="1" t="s">
        <v>23</v>
      </c>
      <c r="D56" s="1">
        <v>2012</v>
      </c>
      <c r="E56" s="1" t="s">
        <v>28</v>
      </c>
      <c r="F56" s="1">
        <v>0</v>
      </c>
      <c r="G56" s="1">
        <v>0</v>
      </c>
      <c r="H56" s="1">
        <v>45</v>
      </c>
      <c r="I56" s="1">
        <v>19.53</v>
      </c>
      <c r="J56" s="1">
        <v>0</v>
      </c>
      <c r="K56" s="1">
        <f t="shared" si="0"/>
        <v>64.53</v>
      </c>
      <c r="L56" s="1" t="str">
        <f>_xlfn.XLOOKUP(A56,satellite_programs!A:A,satellite_programs!N:N)</f>
        <v>Operations</v>
      </c>
    </row>
    <row r="57" spans="1:12" x14ac:dyDescent="0.5">
      <c r="A57" s="1" t="s">
        <v>27</v>
      </c>
      <c r="B57" s="1" t="s">
        <v>22</v>
      </c>
      <c r="C57" s="1" t="s">
        <v>23</v>
      </c>
      <c r="D57" s="1">
        <v>2013</v>
      </c>
      <c r="E57" s="1" t="s">
        <v>28</v>
      </c>
      <c r="F57" s="1">
        <v>0</v>
      </c>
      <c r="G57" s="1">
        <v>0</v>
      </c>
      <c r="H57" s="1">
        <v>45</v>
      </c>
      <c r="I57" s="1">
        <v>20.100000000000001</v>
      </c>
      <c r="J57" s="1">
        <v>0</v>
      </c>
      <c r="K57" s="1">
        <f t="shared" si="0"/>
        <v>65.099999999999994</v>
      </c>
      <c r="L57" s="1" t="str">
        <f>_xlfn.XLOOKUP(A57,satellite_programs!A:A,satellite_programs!N:N)</f>
        <v>Operations</v>
      </c>
    </row>
    <row r="58" spans="1:12" x14ac:dyDescent="0.5">
      <c r="A58" s="1" t="s">
        <v>27</v>
      </c>
      <c r="B58" s="1" t="s">
        <v>22</v>
      </c>
      <c r="C58" s="1" t="s">
        <v>23</v>
      </c>
      <c r="D58" s="1">
        <v>2014</v>
      </c>
      <c r="E58" s="1" t="s">
        <v>28</v>
      </c>
      <c r="F58" s="1">
        <v>0</v>
      </c>
      <c r="G58" s="1">
        <v>0</v>
      </c>
      <c r="H58" s="1">
        <v>45</v>
      </c>
      <c r="I58" s="1">
        <v>20.67</v>
      </c>
      <c r="J58" s="1">
        <v>0</v>
      </c>
      <c r="K58" s="1">
        <f t="shared" si="0"/>
        <v>65.67</v>
      </c>
      <c r="L58" s="1" t="str">
        <f>_xlfn.XLOOKUP(A58,satellite_programs!A:A,satellite_programs!N:N)</f>
        <v>Operations</v>
      </c>
    </row>
    <row r="59" spans="1:12" x14ac:dyDescent="0.5">
      <c r="A59" s="1" t="s">
        <v>27</v>
      </c>
      <c r="B59" s="1" t="s">
        <v>22</v>
      </c>
      <c r="C59" s="1" t="s">
        <v>23</v>
      </c>
      <c r="D59" s="1">
        <v>2015</v>
      </c>
      <c r="E59" s="1" t="s">
        <v>28</v>
      </c>
      <c r="F59" s="1">
        <v>0</v>
      </c>
      <c r="G59" s="1">
        <v>0</v>
      </c>
      <c r="H59" s="1">
        <v>45</v>
      </c>
      <c r="I59" s="1">
        <v>21.24</v>
      </c>
      <c r="J59" s="1">
        <v>0</v>
      </c>
      <c r="K59" s="1">
        <f t="shared" si="0"/>
        <v>66.239999999999995</v>
      </c>
      <c r="L59" s="1" t="str">
        <f>_xlfn.XLOOKUP(A59,satellite_programs!A:A,satellite_programs!N:N)</f>
        <v>Operations</v>
      </c>
    </row>
    <row r="60" spans="1:12" x14ac:dyDescent="0.5">
      <c r="A60" s="1" t="s">
        <v>27</v>
      </c>
      <c r="B60" s="1" t="s">
        <v>22</v>
      </c>
      <c r="C60" s="1" t="s">
        <v>23</v>
      </c>
      <c r="D60" s="1">
        <v>2016</v>
      </c>
      <c r="E60" s="1" t="s">
        <v>28</v>
      </c>
      <c r="F60" s="1">
        <v>0</v>
      </c>
      <c r="G60" s="1">
        <v>0</v>
      </c>
      <c r="H60" s="1">
        <v>45</v>
      </c>
      <c r="I60" s="1">
        <v>21.8</v>
      </c>
      <c r="J60" s="1">
        <v>0</v>
      </c>
      <c r="K60" s="1">
        <f t="shared" si="0"/>
        <v>66.8</v>
      </c>
      <c r="L60" s="1" t="str">
        <f>_xlfn.XLOOKUP(A60,satellite_programs!A:A,satellite_programs!N:N)</f>
        <v>Operations</v>
      </c>
    </row>
    <row r="61" spans="1:12" x14ac:dyDescent="0.5">
      <c r="A61" s="1" t="s">
        <v>27</v>
      </c>
      <c r="B61" s="1" t="s">
        <v>22</v>
      </c>
      <c r="C61" s="1" t="s">
        <v>23</v>
      </c>
      <c r="D61" s="1">
        <v>2017</v>
      </c>
      <c r="E61" s="1" t="s">
        <v>28</v>
      </c>
      <c r="F61" s="1">
        <v>0</v>
      </c>
      <c r="G61" s="1">
        <v>0</v>
      </c>
      <c r="H61" s="1">
        <v>45</v>
      </c>
      <c r="I61" s="1">
        <v>22.37</v>
      </c>
      <c r="J61" s="1">
        <v>0</v>
      </c>
      <c r="K61" s="1">
        <f t="shared" si="0"/>
        <v>67.37</v>
      </c>
      <c r="L61" s="1" t="str">
        <f>_xlfn.XLOOKUP(A61,satellite_programs!A:A,satellite_programs!N:N)</f>
        <v>Operations</v>
      </c>
    </row>
    <row r="62" spans="1:12" x14ac:dyDescent="0.5">
      <c r="A62" s="1" t="s">
        <v>27</v>
      </c>
      <c r="B62" s="1" t="s">
        <v>22</v>
      </c>
      <c r="C62" s="1" t="s">
        <v>23</v>
      </c>
      <c r="D62" s="1">
        <v>2018</v>
      </c>
      <c r="E62" s="1" t="s">
        <v>28</v>
      </c>
      <c r="F62" s="1">
        <v>0</v>
      </c>
      <c r="G62" s="1">
        <v>0</v>
      </c>
      <c r="H62" s="1">
        <v>45</v>
      </c>
      <c r="I62" s="1">
        <v>22.94</v>
      </c>
      <c r="J62" s="1">
        <v>0</v>
      </c>
      <c r="K62" s="1">
        <f t="shared" si="0"/>
        <v>67.94</v>
      </c>
      <c r="L62" s="1" t="str">
        <f>_xlfn.XLOOKUP(A62,satellite_programs!A:A,satellite_programs!N:N)</f>
        <v>Operations</v>
      </c>
    </row>
    <row r="63" spans="1:12" x14ac:dyDescent="0.5">
      <c r="A63" s="1" t="s">
        <v>27</v>
      </c>
      <c r="B63" s="1" t="s">
        <v>22</v>
      </c>
      <c r="C63" s="1" t="s">
        <v>23</v>
      </c>
      <c r="D63" s="1">
        <v>2019</v>
      </c>
      <c r="E63" s="1" t="s">
        <v>28</v>
      </c>
      <c r="F63" s="1">
        <v>0</v>
      </c>
      <c r="G63" s="1">
        <v>0</v>
      </c>
      <c r="H63" s="1">
        <v>45</v>
      </c>
      <c r="I63" s="1">
        <v>23.51</v>
      </c>
      <c r="J63" s="1">
        <v>0</v>
      </c>
      <c r="K63" s="1">
        <f t="shared" si="0"/>
        <v>68.510000000000005</v>
      </c>
      <c r="L63" s="1" t="str">
        <f>_xlfn.XLOOKUP(A63,satellite_programs!A:A,satellite_programs!N:N)</f>
        <v>Operations</v>
      </c>
    </row>
    <row r="64" spans="1:12" x14ac:dyDescent="0.5">
      <c r="A64" s="1" t="s">
        <v>27</v>
      </c>
      <c r="B64" s="1" t="s">
        <v>22</v>
      </c>
      <c r="C64" s="1" t="s">
        <v>23</v>
      </c>
      <c r="D64" s="1">
        <v>2020</v>
      </c>
      <c r="E64" s="1" t="s">
        <v>28</v>
      </c>
      <c r="F64" s="1">
        <v>0</v>
      </c>
      <c r="G64" s="1">
        <v>0</v>
      </c>
      <c r="H64" s="1">
        <v>45</v>
      </c>
      <c r="I64" s="1">
        <v>24.08</v>
      </c>
      <c r="J64" s="1">
        <v>0</v>
      </c>
      <c r="K64" s="1">
        <f t="shared" si="0"/>
        <v>69.08</v>
      </c>
      <c r="L64" s="1" t="str">
        <f>_xlfn.XLOOKUP(A64,satellite_programs!A:A,satellite_programs!N:N)</f>
        <v>Operations</v>
      </c>
    </row>
    <row r="65" spans="1:12" x14ac:dyDescent="0.5">
      <c r="A65" s="1" t="s">
        <v>27</v>
      </c>
      <c r="B65" s="1" t="s">
        <v>22</v>
      </c>
      <c r="C65" s="1" t="s">
        <v>23</v>
      </c>
      <c r="D65" s="1">
        <v>2021</v>
      </c>
      <c r="E65" s="1" t="s">
        <v>28</v>
      </c>
      <c r="F65" s="1">
        <v>0</v>
      </c>
      <c r="G65" s="1">
        <v>0</v>
      </c>
      <c r="H65" s="1">
        <v>45</v>
      </c>
      <c r="I65" s="1">
        <v>24.65</v>
      </c>
      <c r="J65" s="1">
        <v>0</v>
      </c>
      <c r="K65" s="1">
        <f t="shared" si="0"/>
        <v>69.650000000000006</v>
      </c>
      <c r="L65" s="1" t="str">
        <f>_xlfn.XLOOKUP(A65,satellite_programs!A:A,satellite_programs!N:N)</f>
        <v>Operations</v>
      </c>
    </row>
    <row r="66" spans="1:12" x14ac:dyDescent="0.5">
      <c r="A66" s="1" t="s">
        <v>27</v>
      </c>
      <c r="B66" s="1" t="s">
        <v>22</v>
      </c>
      <c r="C66" s="1" t="s">
        <v>23</v>
      </c>
      <c r="D66" s="1">
        <v>2022</v>
      </c>
      <c r="E66" s="1" t="s">
        <v>28</v>
      </c>
      <c r="F66" s="1">
        <v>0</v>
      </c>
      <c r="G66" s="1">
        <v>0</v>
      </c>
      <c r="H66" s="1">
        <v>45</v>
      </c>
      <c r="I66" s="1">
        <v>25.22</v>
      </c>
      <c r="J66" s="1">
        <v>0</v>
      </c>
      <c r="K66" s="1">
        <f t="shared" ref="K66:K129" si="1">SUM(F66:J66)</f>
        <v>70.22</v>
      </c>
      <c r="L66" s="1" t="str">
        <f>_xlfn.XLOOKUP(A66,satellite_programs!A:A,satellite_programs!N:N)</f>
        <v>Operations</v>
      </c>
    </row>
    <row r="67" spans="1:12" x14ac:dyDescent="0.5">
      <c r="A67" s="1" t="s">
        <v>27</v>
      </c>
      <c r="B67" s="1" t="s">
        <v>22</v>
      </c>
      <c r="C67" s="1" t="s">
        <v>23</v>
      </c>
      <c r="D67" s="1">
        <v>2023</v>
      </c>
      <c r="E67" s="1" t="s">
        <v>28</v>
      </c>
      <c r="F67" s="1">
        <v>0</v>
      </c>
      <c r="G67" s="1">
        <v>0</v>
      </c>
      <c r="H67" s="1">
        <v>45</v>
      </c>
      <c r="I67" s="1">
        <v>25.79</v>
      </c>
      <c r="J67" s="1">
        <v>0</v>
      </c>
      <c r="K67" s="1">
        <f t="shared" si="1"/>
        <v>70.789999999999992</v>
      </c>
      <c r="L67" s="1" t="str">
        <f>_xlfn.XLOOKUP(A67,satellite_programs!A:A,satellite_programs!N:N)</f>
        <v>Operations</v>
      </c>
    </row>
    <row r="68" spans="1:12" x14ac:dyDescent="0.5">
      <c r="A68" s="1" t="s">
        <v>27</v>
      </c>
      <c r="B68" s="1" t="s">
        <v>22</v>
      </c>
      <c r="C68" s="1" t="s">
        <v>23</v>
      </c>
      <c r="D68" s="1">
        <v>2024</v>
      </c>
      <c r="E68" s="1" t="s">
        <v>28</v>
      </c>
      <c r="F68" s="1">
        <v>0</v>
      </c>
      <c r="G68" s="1">
        <v>0</v>
      </c>
      <c r="H68" s="1">
        <v>45</v>
      </c>
      <c r="I68" s="1">
        <v>26.35</v>
      </c>
      <c r="J68" s="1">
        <v>0</v>
      </c>
      <c r="K68" s="1">
        <f t="shared" si="1"/>
        <v>71.349999999999994</v>
      </c>
      <c r="L68" s="1" t="str">
        <f>_xlfn.XLOOKUP(A68,satellite_programs!A:A,satellite_programs!N:N)</f>
        <v>Operations</v>
      </c>
    </row>
    <row r="69" spans="1:12" x14ac:dyDescent="0.5">
      <c r="A69" s="1" t="s">
        <v>27</v>
      </c>
      <c r="B69" s="1" t="s">
        <v>22</v>
      </c>
      <c r="C69" s="1" t="s">
        <v>23</v>
      </c>
      <c r="D69" s="1">
        <v>2025</v>
      </c>
      <c r="E69" s="1" t="s">
        <v>28</v>
      </c>
      <c r="F69" s="1">
        <v>0</v>
      </c>
      <c r="G69" s="1">
        <v>0</v>
      </c>
      <c r="H69" s="1">
        <v>45</v>
      </c>
      <c r="I69" s="1">
        <v>26.92</v>
      </c>
      <c r="J69" s="1">
        <v>0</v>
      </c>
      <c r="K69" s="1">
        <f t="shared" si="1"/>
        <v>71.92</v>
      </c>
      <c r="L69" s="1" t="str">
        <f>_xlfn.XLOOKUP(A69,satellite_programs!A:A,satellite_programs!N:N)</f>
        <v>Operations</v>
      </c>
    </row>
    <row r="70" spans="1:12" x14ac:dyDescent="0.5">
      <c r="A70" s="1" t="s">
        <v>27</v>
      </c>
      <c r="B70" s="1" t="s">
        <v>22</v>
      </c>
      <c r="C70" s="1" t="s">
        <v>23</v>
      </c>
      <c r="D70" s="1">
        <v>2026</v>
      </c>
      <c r="E70" s="1" t="s">
        <v>28</v>
      </c>
      <c r="F70" s="1">
        <v>0</v>
      </c>
      <c r="G70" s="1">
        <v>0</v>
      </c>
      <c r="H70" s="1">
        <v>45</v>
      </c>
      <c r="I70" s="1">
        <v>27.49</v>
      </c>
      <c r="J70" s="1">
        <v>0</v>
      </c>
      <c r="K70" s="1">
        <f t="shared" si="1"/>
        <v>72.489999999999995</v>
      </c>
      <c r="L70" s="1" t="str">
        <f>_xlfn.XLOOKUP(A70,satellite_programs!A:A,satellite_programs!N:N)</f>
        <v>Operations</v>
      </c>
    </row>
    <row r="71" spans="1:12" x14ac:dyDescent="0.5">
      <c r="A71" s="1" t="s">
        <v>27</v>
      </c>
      <c r="B71" s="1" t="s">
        <v>22</v>
      </c>
      <c r="C71" s="1" t="s">
        <v>23</v>
      </c>
      <c r="D71" s="1">
        <v>2027</v>
      </c>
      <c r="E71" s="1" t="s">
        <v>28</v>
      </c>
      <c r="F71" s="1">
        <v>0</v>
      </c>
      <c r="G71" s="1">
        <v>0</v>
      </c>
      <c r="H71" s="1">
        <v>45</v>
      </c>
      <c r="I71" s="1">
        <v>28.06</v>
      </c>
      <c r="J71" s="1">
        <v>0</v>
      </c>
      <c r="K71" s="1">
        <f t="shared" si="1"/>
        <v>73.06</v>
      </c>
      <c r="L71" s="1" t="str">
        <f>_xlfn.XLOOKUP(A71,satellite_programs!A:A,satellite_programs!N:N)</f>
        <v>Operations</v>
      </c>
    </row>
    <row r="72" spans="1:12" x14ac:dyDescent="0.5">
      <c r="A72" s="1" t="s">
        <v>27</v>
      </c>
      <c r="B72" s="1" t="s">
        <v>22</v>
      </c>
      <c r="C72" s="1" t="s">
        <v>23</v>
      </c>
      <c r="D72" s="1">
        <v>2029</v>
      </c>
      <c r="E72" s="1" t="s">
        <v>103</v>
      </c>
      <c r="F72" s="1">
        <v>0</v>
      </c>
      <c r="G72" s="1">
        <v>0</v>
      </c>
      <c r="H72" s="1">
        <v>0</v>
      </c>
      <c r="I72" s="1">
        <v>0</v>
      </c>
      <c r="J72" s="1">
        <v>22.9</v>
      </c>
      <c r="K72" s="1">
        <f t="shared" si="1"/>
        <v>22.9</v>
      </c>
      <c r="L72" s="1" t="str">
        <f>_xlfn.XLOOKUP(A72,satellite_programs!A:A,satellite_programs!N:N)</f>
        <v>Operations</v>
      </c>
    </row>
    <row r="73" spans="1:12" x14ac:dyDescent="0.5">
      <c r="A73" s="1" t="s">
        <v>29</v>
      </c>
      <c r="B73" s="1" t="s">
        <v>22</v>
      </c>
      <c r="C73" s="1" t="s">
        <v>23</v>
      </c>
      <c r="D73" s="1">
        <v>2007</v>
      </c>
      <c r="E73" s="1" t="s">
        <v>104</v>
      </c>
      <c r="F73" s="1">
        <v>22.01</v>
      </c>
      <c r="G73" s="1">
        <v>0</v>
      </c>
      <c r="H73" s="1">
        <v>0</v>
      </c>
      <c r="I73" s="1">
        <v>0</v>
      </c>
      <c r="J73" s="1">
        <v>0</v>
      </c>
      <c r="K73" s="1">
        <f t="shared" si="1"/>
        <v>22.01</v>
      </c>
      <c r="L73" s="1" t="str">
        <f>_xlfn.XLOOKUP(A73,satellite_programs!A:A,satellite_programs!N:N)</f>
        <v>Operations</v>
      </c>
    </row>
    <row r="74" spans="1:12" x14ac:dyDescent="0.5">
      <c r="A74" s="1" t="s">
        <v>29</v>
      </c>
      <c r="B74" s="1" t="s">
        <v>22</v>
      </c>
      <c r="C74" s="1" t="s">
        <v>23</v>
      </c>
      <c r="D74" s="1">
        <v>2008</v>
      </c>
      <c r="E74" s="1" t="s">
        <v>104</v>
      </c>
      <c r="F74" s="1">
        <v>44.02</v>
      </c>
      <c r="G74" s="1">
        <v>0</v>
      </c>
      <c r="H74" s="1">
        <v>0</v>
      </c>
      <c r="I74" s="1">
        <v>0</v>
      </c>
      <c r="J74" s="1">
        <v>0</v>
      </c>
      <c r="K74" s="1">
        <f t="shared" si="1"/>
        <v>44.02</v>
      </c>
      <c r="L74" s="1" t="str">
        <f>_xlfn.XLOOKUP(A74,satellite_programs!A:A,satellite_programs!N:N)</f>
        <v>Operations</v>
      </c>
    </row>
    <row r="75" spans="1:12" x14ac:dyDescent="0.5">
      <c r="A75" s="1" t="s">
        <v>29</v>
      </c>
      <c r="B75" s="1" t="s">
        <v>22</v>
      </c>
      <c r="C75" s="1" t="s">
        <v>23</v>
      </c>
      <c r="D75" s="1">
        <v>2009</v>
      </c>
      <c r="E75" s="1" t="s">
        <v>104</v>
      </c>
      <c r="F75" s="1">
        <v>79.25</v>
      </c>
      <c r="G75" s="1">
        <v>0</v>
      </c>
      <c r="H75" s="1">
        <v>0</v>
      </c>
      <c r="I75" s="1">
        <v>0</v>
      </c>
      <c r="J75" s="1">
        <v>0</v>
      </c>
      <c r="K75" s="1">
        <f t="shared" si="1"/>
        <v>79.25</v>
      </c>
      <c r="L75" s="1" t="str">
        <f>_xlfn.XLOOKUP(A75,satellite_programs!A:A,satellite_programs!N:N)</f>
        <v>Operations</v>
      </c>
    </row>
    <row r="76" spans="1:12" x14ac:dyDescent="0.5">
      <c r="A76" s="1" t="s">
        <v>29</v>
      </c>
      <c r="B76" s="1" t="s">
        <v>22</v>
      </c>
      <c r="C76" s="1" t="s">
        <v>23</v>
      </c>
      <c r="D76" s="1">
        <v>2010</v>
      </c>
      <c r="E76" s="1" t="s">
        <v>104</v>
      </c>
      <c r="F76" s="1">
        <v>96.86</v>
      </c>
      <c r="G76" s="1">
        <v>0</v>
      </c>
      <c r="H76" s="1">
        <v>0</v>
      </c>
      <c r="I76" s="1">
        <v>0</v>
      </c>
      <c r="J76" s="1">
        <v>0</v>
      </c>
      <c r="K76" s="1">
        <f t="shared" si="1"/>
        <v>96.86</v>
      </c>
      <c r="L76" s="1" t="str">
        <f>_xlfn.XLOOKUP(A76,satellite_programs!A:A,satellite_programs!N:N)</f>
        <v>Operations</v>
      </c>
    </row>
    <row r="77" spans="1:12" x14ac:dyDescent="0.5">
      <c r="A77" s="1" t="s">
        <v>29</v>
      </c>
      <c r="B77" s="1" t="s">
        <v>22</v>
      </c>
      <c r="C77" s="1" t="s">
        <v>23</v>
      </c>
      <c r="D77" s="1">
        <v>2011</v>
      </c>
      <c r="E77" s="1" t="s">
        <v>104</v>
      </c>
      <c r="F77" s="1">
        <v>88.05</v>
      </c>
      <c r="G77" s="1">
        <v>0</v>
      </c>
      <c r="H77" s="1">
        <v>0</v>
      </c>
      <c r="I77" s="1">
        <v>0</v>
      </c>
      <c r="J77" s="1">
        <v>0</v>
      </c>
      <c r="K77" s="1">
        <f t="shared" si="1"/>
        <v>88.05</v>
      </c>
      <c r="L77" s="1" t="str">
        <f>_xlfn.XLOOKUP(A77,satellite_programs!A:A,satellite_programs!N:N)</f>
        <v>Operations</v>
      </c>
    </row>
    <row r="78" spans="1:12" x14ac:dyDescent="0.5">
      <c r="A78" s="1" t="s">
        <v>29</v>
      </c>
      <c r="B78" s="1" t="s">
        <v>22</v>
      </c>
      <c r="C78" s="1" t="s">
        <v>23</v>
      </c>
      <c r="D78" s="1">
        <v>2012</v>
      </c>
      <c r="E78" s="1" t="s">
        <v>104</v>
      </c>
      <c r="F78" s="1">
        <v>57.23</v>
      </c>
      <c r="G78" s="1">
        <v>92.98</v>
      </c>
      <c r="H78" s="1">
        <v>0</v>
      </c>
      <c r="I78" s="1">
        <v>0</v>
      </c>
      <c r="J78" s="1">
        <v>0</v>
      </c>
      <c r="K78" s="1">
        <f t="shared" si="1"/>
        <v>150.21</v>
      </c>
      <c r="L78" s="1" t="str">
        <f>_xlfn.XLOOKUP(A78,satellite_programs!A:A,satellite_programs!N:N)</f>
        <v>Operations</v>
      </c>
    </row>
    <row r="79" spans="1:12" x14ac:dyDescent="0.5">
      <c r="A79" s="1" t="s">
        <v>29</v>
      </c>
      <c r="B79" s="1" t="s">
        <v>22</v>
      </c>
      <c r="C79" s="1" t="s">
        <v>23</v>
      </c>
      <c r="D79" s="1">
        <v>2013</v>
      </c>
      <c r="E79" s="1" t="s">
        <v>104</v>
      </c>
      <c r="F79" s="1">
        <v>35.22</v>
      </c>
      <c r="G79" s="1">
        <v>76.08</v>
      </c>
      <c r="H79" s="1">
        <v>0</v>
      </c>
      <c r="I79" s="1">
        <v>0</v>
      </c>
      <c r="J79" s="1">
        <v>0</v>
      </c>
      <c r="K79" s="1">
        <f t="shared" si="1"/>
        <v>111.3</v>
      </c>
      <c r="L79" s="1" t="str">
        <f>_xlfn.XLOOKUP(A79,satellite_programs!A:A,satellite_programs!N:N)</f>
        <v>Operations</v>
      </c>
    </row>
    <row r="80" spans="1:12" x14ac:dyDescent="0.5">
      <c r="A80" s="1" t="s">
        <v>29</v>
      </c>
      <c r="B80" s="1" t="s">
        <v>22</v>
      </c>
      <c r="C80" s="1" t="s">
        <v>23</v>
      </c>
      <c r="D80" s="1">
        <v>2014</v>
      </c>
      <c r="E80" s="1" t="s">
        <v>28</v>
      </c>
      <c r="F80" s="1">
        <v>0</v>
      </c>
      <c r="G80" s="1">
        <v>0</v>
      </c>
      <c r="H80" s="1">
        <v>48.12</v>
      </c>
      <c r="I80" s="1">
        <v>19.68</v>
      </c>
      <c r="J80" s="1">
        <v>0</v>
      </c>
      <c r="K80" s="1">
        <f t="shared" si="1"/>
        <v>67.8</v>
      </c>
      <c r="L80" s="1" t="str">
        <f>_xlfn.XLOOKUP(A80,satellite_programs!A:A,satellite_programs!N:N)</f>
        <v>Operations</v>
      </c>
    </row>
    <row r="81" spans="1:12" x14ac:dyDescent="0.5">
      <c r="A81" s="1" t="s">
        <v>29</v>
      </c>
      <c r="B81" s="1" t="s">
        <v>22</v>
      </c>
      <c r="C81" s="1" t="s">
        <v>23</v>
      </c>
      <c r="D81" s="1">
        <v>2015</v>
      </c>
      <c r="E81" s="1" t="s">
        <v>28</v>
      </c>
      <c r="F81" s="1">
        <v>0</v>
      </c>
      <c r="G81" s="1">
        <v>0</v>
      </c>
      <c r="H81" s="1">
        <v>48.12</v>
      </c>
      <c r="I81" s="1">
        <v>20.27</v>
      </c>
      <c r="J81" s="1">
        <v>0</v>
      </c>
      <c r="K81" s="1">
        <f t="shared" si="1"/>
        <v>68.39</v>
      </c>
      <c r="L81" s="1" t="str">
        <f>_xlfn.XLOOKUP(A81,satellite_programs!A:A,satellite_programs!N:N)</f>
        <v>Operations</v>
      </c>
    </row>
    <row r="82" spans="1:12" x14ac:dyDescent="0.5">
      <c r="A82" s="1" t="s">
        <v>29</v>
      </c>
      <c r="B82" s="1" t="s">
        <v>22</v>
      </c>
      <c r="C82" s="1" t="s">
        <v>23</v>
      </c>
      <c r="D82" s="1">
        <v>2016</v>
      </c>
      <c r="E82" s="1" t="s">
        <v>28</v>
      </c>
      <c r="F82" s="1">
        <v>0</v>
      </c>
      <c r="G82" s="1">
        <v>0</v>
      </c>
      <c r="H82" s="1">
        <v>48.12</v>
      </c>
      <c r="I82" s="1">
        <v>20.86</v>
      </c>
      <c r="J82" s="1">
        <v>0</v>
      </c>
      <c r="K82" s="1">
        <f t="shared" si="1"/>
        <v>68.97999999999999</v>
      </c>
      <c r="L82" s="1" t="str">
        <f>_xlfn.XLOOKUP(A82,satellite_programs!A:A,satellite_programs!N:N)</f>
        <v>Operations</v>
      </c>
    </row>
    <row r="83" spans="1:12" x14ac:dyDescent="0.5">
      <c r="A83" s="1" t="s">
        <v>29</v>
      </c>
      <c r="B83" s="1" t="s">
        <v>22</v>
      </c>
      <c r="C83" s="1" t="s">
        <v>23</v>
      </c>
      <c r="D83" s="1">
        <v>2017</v>
      </c>
      <c r="E83" s="1" t="s">
        <v>28</v>
      </c>
      <c r="F83" s="1">
        <v>0</v>
      </c>
      <c r="G83" s="1">
        <v>0</v>
      </c>
      <c r="H83" s="1">
        <v>48.12</v>
      </c>
      <c r="I83" s="1">
        <v>21.45</v>
      </c>
      <c r="J83" s="1">
        <v>0</v>
      </c>
      <c r="K83" s="1">
        <f t="shared" si="1"/>
        <v>69.569999999999993</v>
      </c>
      <c r="L83" s="1" t="str">
        <f>_xlfn.XLOOKUP(A83,satellite_programs!A:A,satellite_programs!N:N)</f>
        <v>Operations</v>
      </c>
    </row>
    <row r="84" spans="1:12" x14ac:dyDescent="0.5">
      <c r="A84" s="1" t="s">
        <v>29</v>
      </c>
      <c r="B84" s="1" t="s">
        <v>22</v>
      </c>
      <c r="C84" s="1" t="s">
        <v>23</v>
      </c>
      <c r="D84" s="1">
        <v>2018</v>
      </c>
      <c r="E84" s="1" t="s">
        <v>28</v>
      </c>
      <c r="F84" s="1">
        <v>0</v>
      </c>
      <c r="G84" s="1">
        <v>0</v>
      </c>
      <c r="H84" s="1">
        <v>48.12</v>
      </c>
      <c r="I84" s="1">
        <v>22.04</v>
      </c>
      <c r="J84" s="1">
        <v>0</v>
      </c>
      <c r="K84" s="1">
        <f t="shared" si="1"/>
        <v>70.16</v>
      </c>
      <c r="L84" s="1" t="str">
        <f>_xlfn.XLOOKUP(A84,satellite_programs!A:A,satellite_programs!N:N)</f>
        <v>Operations</v>
      </c>
    </row>
    <row r="85" spans="1:12" x14ac:dyDescent="0.5">
      <c r="A85" s="1" t="s">
        <v>29</v>
      </c>
      <c r="B85" s="1" t="s">
        <v>22</v>
      </c>
      <c r="C85" s="1" t="s">
        <v>23</v>
      </c>
      <c r="D85" s="1">
        <v>2019</v>
      </c>
      <c r="E85" s="1" t="s">
        <v>28</v>
      </c>
      <c r="F85" s="1">
        <v>0</v>
      </c>
      <c r="G85" s="1">
        <v>0</v>
      </c>
      <c r="H85" s="1">
        <v>48.12</v>
      </c>
      <c r="I85" s="1">
        <v>22.63</v>
      </c>
      <c r="J85" s="1">
        <v>0</v>
      </c>
      <c r="K85" s="1">
        <f t="shared" si="1"/>
        <v>70.75</v>
      </c>
      <c r="L85" s="1" t="str">
        <f>_xlfn.XLOOKUP(A85,satellite_programs!A:A,satellite_programs!N:N)</f>
        <v>Operations</v>
      </c>
    </row>
    <row r="86" spans="1:12" x14ac:dyDescent="0.5">
      <c r="A86" s="1" t="s">
        <v>29</v>
      </c>
      <c r="B86" s="1" t="s">
        <v>22</v>
      </c>
      <c r="C86" s="1" t="s">
        <v>23</v>
      </c>
      <c r="D86" s="1">
        <v>2020</v>
      </c>
      <c r="E86" s="1" t="s">
        <v>28</v>
      </c>
      <c r="F86" s="1">
        <v>0</v>
      </c>
      <c r="G86" s="1">
        <v>0</v>
      </c>
      <c r="H86" s="1">
        <v>48.12</v>
      </c>
      <c r="I86" s="1">
        <v>23.22</v>
      </c>
      <c r="J86" s="1">
        <v>0</v>
      </c>
      <c r="K86" s="1">
        <f t="shared" si="1"/>
        <v>71.34</v>
      </c>
      <c r="L86" s="1" t="str">
        <f>_xlfn.XLOOKUP(A86,satellite_programs!A:A,satellite_programs!N:N)</f>
        <v>Operations</v>
      </c>
    </row>
    <row r="87" spans="1:12" x14ac:dyDescent="0.5">
      <c r="A87" s="1" t="s">
        <v>29</v>
      </c>
      <c r="B87" s="1" t="s">
        <v>22</v>
      </c>
      <c r="C87" s="1" t="s">
        <v>23</v>
      </c>
      <c r="D87" s="1">
        <v>2021</v>
      </c>
      <c r="E87" s="1" t="s">
        <v>28</v>
      </c>
      <c r="F87" s="1">
        <v>0</v>
      </c>
      <c r="G87" s="1">
        <v>0</v>
      </c>
      <c r="H87" s="1">
        <v>48.12</v>
      </c>
      <c r="I87" s="1">
        <v>23.81</v>
      </c>
      <c r="J87" s="1">
        <v>0</v>
      </c>
      <c r="K87" s="1">
        <f t="shared" si="1"/>
        <v>71.929999999999993</v>
      </c>
      <c r="L87" s="1" t="str">
        <f>_xlfn.XLOOKUP(A87,satellite_programs!A:A,satellite_programs!N:N)</f>
        <v>Operations</v>
      </c>
    </row>
    <row r="88" spans="1:12" x14ac:dyDescent="0.5">
      <c r="A88" s="1" t="s">
        <v>29</v>
      </c>
      <c r="B88" s="1" t="s">
        <v>22</v>
      </c>
      <c r="C88" s="1" t="s">
        <v>23</v>
      </c>
      <c r="D88" s="1">
        <v>2022</v>
      </c>
      <c r="E88" s="1" t="s">
        <v>28</v>
      </c>
      <c r="F88" s="1">
        <v>0</v>
      </c>
      <c r="G88" s="1">
        <v>0</v>
      </c>
      <c r="H88" s="1">
        <v>48.12</v>
      </c>
      <c r="I88" s="1">
        <v>24.4</v>
      </c>
      <c r="J88" s="1">
        <v>0</v>
      </c>
      <c r="K88" s="1">
        <f t="shared" si="1"/>
        <v>72.52</v>
      </c>
      <c r="L88" s="1" t="str">
        <f>_xlfn.XLOOKUP(A88,satellite_programs!A:A,satellite_programs!N:N)</f>
        <v>Operations</v>
      </c>
    </row>
    <row r="89" spans="1:12" x14ac:dyDescent="0.5">
      <c r="A89" s="1" t="s">
        <v>29</v>
      </c>
      <c r="B89" s="1" t="s">
        <v>22</v>
      </c>
      <c r="C89" s="1" t="s">
        <v>23</v>
      </c>
      <c r="D89" s="1">
        <v>2023</v>
      </c>
      <c r="E89" s="1" t="s">
        <v>28</v>
      </c>
      <c r="F89" s="1">
        <v>0</v>
      </c>
      <c r="G89" s="1">
        <v>0</v>
      </c>
      <c r="H89" s="1">
        <v>48.12</v>
      </c>
      <c r="I89" s="1">
        <v>24.99</v>
      </c>
      <c r="J89" s="1">
        <v>0</v>
      </c>
      <c r="K89" s="1">
        <f t="shared" si="1"/>
        <v>73.11</v>
      </c>
      <c r="L89" s="1" t="str">
        <f>_xlfn.XLOOKUP(A89,satellite_programs!A:A,satellite_programs!N:N)</f>
        <v>Operations</v>
      </c>
    </row>
    <row r="90" spans="1:12" x14ac:dyDescent="0.5">
      <c r="A90" s="1" t="s">
        <v>29</v>
      </c>
      <c r="B90" s="1" t="s">
        <v>22</v>
      </c>
      <c r="C90" s="1" t="s">
        <v>23</v>
      </c>
      <c r="D90" s="1">
        <v>2024</v>
      </c>
      <c r="E90" s="1" t="s">
        <v>28</v>
      </c>
      <c r="F90" s="1">
        <v>0</v>
      </c>
      <c r="G90" s="1">
        <v>0</v>
      </c>
      <c r="H90" s="1">
        <v>48.12</v>
      </c>
      <c r="I90" s="1">
        <v>25.58</v>
      </c>
      <c r="J90" s="1">
        <v>0</v>
      </c>
      <c r="K90" s="1">
        <f t="shared" si="1"/>
        <v>73.699999999999989</v>
      </c>
      <c r="L90" s="1" t="str">
        <f>_xlfn.XLOOKUP(A90,satellite_programs!A:A,satellite_programs!N:N)</f>
        <v>Operations</v>
      </c>
    </row>
    <row r="91" spans="1:12" x14ac:dyDescent="0.5">
      <c r="A91" s="1" t="s">
        <v>29</v>
      </c>
      <c r="B91" s="1" t="s">
        <v>22</v>
      </c>
      <c r="C91" s="1" t="s">
        <v>23</v>
      </c>
      <c r="D91" s="1">
        <v>2025</v>
      </c>
      <c r="E91" s="1" t="s">
        <v>28</v>
      </c>
      <c r="F91" s="1">
        <v>0</v>
      </c>
      <c r="G91" s="1">
        <v>0</v>
      </c>
      <c r="H91" s="1">
        <v>48.12</v>
      </c>
      <c r="I91" s="1">
        <v>26.17</v>
      </c>
      <c r="J91" s="1">
        <v>0</v>
      </c>
      <c r="K91" s="1">
        <f t="shared" si="1"/>
        <v>74.289999999999992</v>
      </c>
      <c r="L91" s="1" t="str">
        <f>_xlfn.XLOOKUP(A91,satellite_programs!A:A,satellite_programs!N:N)</f>
        <v>Operations</v>
      </c>
    </row>
    <row r="92" spans="1:12" x14ac:dyDescent="0.5">
      <c r="A92" s="1" t="s">
        <v>29</v>
      </c>
      <c r="B92" s="1" t="s">
        <v>22</v>
      </c>
      <c r="C92" s="1" t="s">
        <v>23</v>
      </c>
      <c r="D92" s="1">
        <v>2026</v>
      </c>
      <c r="E92" s="1" t="s">
        <v>28</v>
      </c>
      <c r="F92" s="1">
        <v>0</v>
      </c>
      <c r="G92" s="1">
        <v>0</v>
      </c>
      <c r="H92" s="1">
        <v>48.12</v>
      </c>
      <c r="I92" s="1">
        <v>26.76</v>
      </c>
      <c r="J92" s="1">
        <v>0</v>
      </c>
      <c r="K92" s="1">
        <f t="shared" si="1"/>
        <v>74.88</v>
      </c>
      <c r="L92" s="1" t="str">
        <f>_xlfn.XLOOKUP(A92,satellite_programs!A:A,satellite_programs!N:N)</f>
        <v>Operations</v>
      </c>
    </row>
    <row r="93" spans="1:12" x14ac:dyDescent="0.5">
      <c r="A93" s="1" t="s">
        <v>29</v>
      </c>
      <c r="B93" s="1" t="s">
        <v>22</v>
      </c>
      <c r="C93" s="1" t="s">
        <v>23</v>
      </c>
      <c r="D93" s="1">
        <v>2027</v>
      </c>
      <c r="E93" s="1" t="s">
        <v>28</v>
      </c>
      <c r="F93" s="1">
        <v>0</v>
      </c>
      <c r="G93" s="1">
        <v>0</v>
      </c>
      <c r="H93" s="1">
        <v>48.12</v>
      </c>
      <c r="I93" s="1">
        <v>27.36</v>
      </c>
      <c r="J93" s="1">
        <v>0</v>
      </c>
      <c r="K93" s="1">
        <f t="shared" si="1"/>
        <v>75.47999999999999</v>
      </c>
      <c r="L93" s="1" t="str">
        <f>_xlfn.XLOOKUP(A93,satellite_programs!A:A,satellite_programs!N:N)</f>
        <v>Operations</v>
      </c>
    </row>
    <row r="94" spans="1:12" x14ac:dyDescent="0.5">
      <c r="A94" s="1" t="s">
        <v>29</v>
      </c>
      <c r="B94" s="1" t="s">
        <v>22</v>
      </c>
      <c r="C94" s="1" t="s">
        <v>23</v>
      </c>
      <c r="D94" s="1">
        <v>2028</v>
      </c>
      <c r="E94" s="1" t="s">
        <v>28</v>
      </c>
      <c r="F94" s="1">
        <v>0</v>
      </c>
      <c r="G94" s="1">
        <v>0</v>
      </c>
      <c r="H94" s="1">
        <v>48.12</v>
      </c>
      <c r="I94" s="1">
        <v>27.95</v>
      </c>
      <c r="J94" s="1">
        <v>0</v>
      </c>
      <c r="K94" s="1">
        <f t="shared" si="1"/>
        <v>76.069999999999993</v>
      </c>
      <c r="L94" s="1" t="str">
        <f>_xlfn.XLOOKUP(A94,satellite_programs!A:A,satellite_programs!N:N)</f>
        <v>Operations</v>
      </c>
    </row>
    <row r="95" spans="1:12" x14ac:dyDescent="0.5">
      <c r="A95" s="1" t="s">
        <v>29</v>
      </c>
      <c r="B95" s="1" t="s">
        <v>22</v>
      </c>
      <c r="C95" s="1" t="s">
        <v>23</v>
      </c>
      <c r="D95" s="1">
        <v>2029</v>
      </c>
      <c r="E95" s="1" t="s">
        <v>28</v>
      </c>
      <c r="F95" s="1">
        <v>0</v>
      </c>
      <c r="G95" s="1">
        <v>0</v>
      </c>
      <c r="H95" s="1">
        <v>48.12</v>
      </c>
      <c r="I95" s="1">
        <v>28.54</v>
      </c>
      <c r="J95" s="1">
        <v>0</v>
      </c>
      <c r="K95" s="1">
        <f t="shared" si="1"/>
        <v>76.66</v>
      </c>
      <c r="L95" s="1" t="str">
        <f>_xlfn.XLOOKUP(A95,satellite_programs!A:A,satellite_programs!N:N)</f>
        <v>Operations</v>
      </c>
    </row>
    <row r="96" spans="1:12" x14ac:dyDescent="0.5">
      <c r="A96" s="1" t="s">
        <v>29</v>
      </c>
      <c r="B96" s="1" t="s">
        <v>22</v>
      </c>
      <c r="C96" s="1" t="s">
        <v>23</v>
      </c>
      <c r="D96" s="1">
        <v>2030</v>
      </c>
      <c r="E96" s="1" t="s">
        <v>28</v>
      </c>
      <c r="F96" s="1">
        <v>0</v>
      </c>
      <c r="G96" s="1">
        <v>0</v>
      </c>
      <c r="H96" s="1">
        <v>48.12</v>
      </c>
      <c r="I96" s="1">
        <v>29.13</v>
      </c>
      <c r="J96" s="1">
        <v>0</v>
      </c>
      <c r="K96" s="1">
        <f t="shared" si="1"/>
        <v>77.25</v>
      </c>
      <c r="L96" s="1" t="str">
        <f>_xlfn.XLOOKUP(A96,satellite_programs!A:A,satellite_programs!N:N)</f>
        <v>Operations</v>
      </c>
    </row>
    <row r="97" spans="1:12" x14ac:dyDescent="0.5">
      <c r="A97" s="1" t="s">
        <v>29</v>
      </c>
      <c r="B97" s="1" t="s">
        <v>22</v>
      </c>
      <c r="C97" s="1" t="s">
        <v>23</v>
      </c>
      <c r="D97" s="1">
        <v>2031</v>
      </c>
      <c r="E97" s="1" t="s">
        <v>28</v>
      </c>
      <c r="F97" s="1">
        <v>0</v>
      </c>
      <c r="G97" s="1">
        <v>0</v>
      </c>
      <c r="H97" s="1">
        <v>48.12</v>
      </c>
      <c r="I97" s="1">
        <v>29.72</v>
      </c>
      <c r="J97" s="1">
        <v>0</v>
      </c>
      <c r="K97" s="1">
        <f t="shared" si="1"/>
        <v>77.84</v>
      </c>
      <c r="L97" s="1" t="str">
        <f>_xlfn.XLOOKUP(A97,satellite_programs!A:A,satellite_programs!N:N)</f>
        <v>Operations</v>
      </c>
    </row>
    <row r="98" spans="1:12" x14ac:dyDescent="0.5">
      <c r="A98" s="1" t="s">
        <v>29</v>
      </c>
      <c r="B98" s="1" t="s">
        <v>22</v>
      </c>
      <c r="C98" s="1" t="s">
        <v>23</v>
      </c>
      <c r="D98" s="1">
        <v>2033</v>
      </c>
      <c r="E98" s="1" t="s">
        <v>103</v>
      </c>
      <c r="F98" s="1">
        <v>0</v>
      </c>
      <c r="G98" s="1">
        <v>0</v>
      </c>
      <c r="H98" s="1">
        <v>0</v>
      </c>
      <c r="I98" s="1">
        <v>0</v>
      </c>
      <c r="J98" s="1">
        <v>23.56</v>
      </c>
      <c r="K98" s="1">
        <f t="shared" si="1"/>
        <v>23.56</v>
      </c>
      <c r="L98" s="1" t="str">
        <f>_xlfn.XLOOKUP(A98,satellite_programs!A:A,satellite_programs!N:N)</f>
        <v>Operations</v>
      </c>
    </row>
    <row r="99" spans="1:12" x14ac:dyDescent="0.5">
      <c r="A99" s="1" t="s">
        <v>30</v>
      </c>
      <c r="B99" s="1" t="s">
        <v>22</v>
      </c>
      <c r="C99" s="1" t="s">
        <v>23</v>
      </c>
      <c r="D99" s="1">
        <v>2010</v>
      </c>
      <c r="E99" s="1" t="s">
        <v>104</v>
      </c>
      <c r="F99" s="1">
        <v>24.13</v>
      </c>
      <c r="G99" s="1">
        <v>0</v>
      </c>
      <c r="H99" s="1">
        <v>0</v>
      </c>
      <c r="I99" s="1">
        <v>0</v>
      </c>
      <c r="J99" s="1">
        <v>0</v>
      </c>
      <c r="K99" s="1">
        <f t="shared" si="1"/>
        <v>24.13</v>
      </c>
      <c r="L99" s="1" t="str">
        <f>_xlfn.XLOOKUP(A99,satellite_programs!A:A,satellite_programs!N:N)</f>
        <v>Operations</v>
      </c>
    </row>
    <row r="100" spans="1:12" x14ac:dyDescent="0.5">
      <c r="A100" s="1" t="s">
        <v>30</v>
      </c>
      <c r="B100" s="1" t="s">
        <v>22</v>
      </c>
      <c r="C100" s="1" t="s">
        <v>23</v>
      </c>
      <c r="D100" s="1">
        <v>2011</v>
      </c>
      <c r="E100" s="1" t="s">
        <v>104</v>
      </c>
      <c r="F100" s="1">
        <v>48.26</v>
      </c>
      <c r="G100" s="1">
        <v>0</v>
      </c>
      <c r="H100" s="1">
        <v>0</v>
      </c>
      <c r="I100" s="1">
        <v>0</v>
      </c>
      <c r="J100" s="1">
        <v>0</v>
      </c>
      <c r="K100" s="1">
        <f t="shared" si="1"/>
        <v>48.26</v>
      </c>
      <c r="L100" s="1" t="str">
        <f>_xlfn.XLOOKUP(A100,satellite_programs!A:A,satellite_programs!N:N)</f>
        <v>Operations</v>
      </c>
    </row>
    <row r="101" spans="1:12" x14ac:dyDescent="0.5">
      <c r="A101" s="1" t="s">
        <v>30</v>
      </c>
      <c r="B101" s="1" t="s">
        <v>22</v>
      </c>
      <c r="C101" s="1" t="s">
        <v>23</v>
      </c>
      <c r="D101" s="1">
        <v>2012</v>
      </c>
      <c r="E101" s="1" t="s">
        <v>104</v>
      </c>
      <c r="F101" s="1">
        <v>86.87</v>
      </c>
      <c r="G101" s="1">
        <v>0</v>
      </c>
      <c r="H101" s="1">
        <v>0</v>
      </c>
      <c r="I101" s="1">
        <v>0</v>
      </c>
      <c r="J101" s="1">
        <v>0</v>
      </c>
      <c r="K101" s="1">
        <f t="shared" si="1"/>
        <v>86.87</v>
      </c>
      <c r="L101" s="1" t="str">
        <f>_xlfn.XLOOKUP(A101,satellite_programs!A:A,satellite_programs!N:N)</f>
        <v>Operations</v>
      </c>
    </row>
    <row r="102" spans="1:12" x14ac:dyDescent="0.5">
      <c r="A102" s="1" t="s">
        <v>30</v>
      </c>
      <c r="B102" s="1" t="s">
        <v>22</v>
      </c>
      <c r="C102" s="1" t="s">
        <v>23</v>
      </c>
      <c r="D102" s="1">
        <v>2013</v>
      </c>
      <c r="E102" s="1" t="s">
        <v>104</v>
      </c>
      <c r="F102" s="1">
        <v>106.18</v>
      </c>
      <c r="G102" s="1">
        <v>0</v>
      </c>
      <c r="H102" s="1">
        <v>0</v>
      </c>
      <c r="I102" s="1">
        <v>0</v>
      </c>
      <c r="J102" s="1">
        <v>0</v>
      </c>
      <c r="K102" s="1">
        <f t="shared" si="1"/>
        <v>106.18</v>
      </c>
      <c r="L102" s="1" t="str">
        <f>_xlfn.XLOOKUP(A102,satellite_programs!A:A,satellite_programs!N:N)</f>
        <v>Operations</v>
      </c>
    </row>
    <row r="103" spans="1:12" x14ac:dyDescent="0.5">
      <c r="A103" s="1" t="s">
        <v>30</v>
      </c>
      <c r="B103" s="1" t="s">
        <v>22</v>
      </c>
      <c r="C103" s="1" t="s">
        <v>23</v>
      </c>
      <c r="D103" s="1">
        <v>2014</v>
      </c>
      <c r="E103" s="1" t="s">
        <v>104</v>
      </c>
      <c r="F103" s="1">
        <v>96.53</v>
      </c>
      <c r="G103" s="1">
        <v>0</v>
      </c>
      <c r="H103" s="1">
        <v>0</v>
      </c>
      <c r="I103" s="1">
        <v>0</v>
      </c>
      <c r="J103" s="1">
        <v>0</v>
      </c>
      <c r="K103" s="1">
        <f t="shared" si="1"/>
        <v>96.53</v>
      </c>
      <c r="L103" s="1" t="str">
        <f>_xlfn.XLOOKUP(A103,satellite_programs!A:A,satellite_programs!N:N)</f>
        <v>Operations</v>
      </c>
    </row>
    <row r="104" spans="1:12" x14ac:dyDescent="0.5">
      <c r="A104" s="1" t="s">
        <v>30</v>
      </c>
      <c r="B104" s="1" t="s">
        <v>22</v>
      </c>
      <c r="C104" s="1" t="s">
        <v>23</v>
      </c>
      <c r="D104" s="1">
        <v>2015</v>
      </c>
      <c r="E104" s="1" t="s">
        <v>104</v>
      </c>
      <c r="F104" s="1">
        <v>62.74</v>
      </c>
      <c r="G104" s="1">
        <v>101.93</v>
      </c>
      <c r="H104" s="1">
        <v>0</v>
      </c>
      <c r="I104" s="1">
        <v>0</v>
      </c>
      <c r="J104" s="1">
        <v>0</v>
      </c>
      <c r="K104" s="1">
        <f t="shared" si="1"/>
        <v>164.67000000000002</v>
      </c>
      <c r="L104" s="1" t="str">
        <f>_xlfn.XLOOKUP(A104,satellite_programs!A:A,satellite_programs!N:N)</f>
        <v>Operations</v>
      </c>
    </row>
    <row r="105" spans="1:12" x14ac:dyDescent="0.5">
      <c r="A105" s="1" t="s">
        <v>30</v>
      </c>
      <c r="B105" s="1" t="s">
        <v>22</v>
      </c>
      <c r="C105" s="1" t="s">
        <v>23</v>
      </c>
      <c r="D105" s="1">
        <v>2016</v>
      </c>
      <c r="E105" s="1" t="s">
        <v>104</v>
      </c>
      <c r="F105" s="1">
        <v>38.61</v>
      </c>
      <c r="G105" s="1">
        <v>83.4</v>
      </c>
      <c r="H105" s="1">
        <v>0</v>
      </c>
      <c r="I105" s="1">
        <v>0</v>
      </c>
      <c r="J105" s="1">
        <v>0</v>
      </c>
      <c r="K105" s="1">
        <f t="shared" si="1"/>
        <v>122.01</v>
      </c>
      <c r="L105" s="1" t="str">
        <f>_xlfn.XLOOKUP(A105,satellite_programs!A:A,satellite_programs!N:N)</f>
        <v>Operations</v>
      </c>
    </row>
    <row r="106" spans="1:12" x14ac:dyDescent="0.5">
      <c r="A106" s="1" t="s">
        <v>30</v>
      </c>
      <c r="B106" s="1" t="s">
        <v>22</v>
      </c>
      <c r="C106" s="1" t="s">
        <v>23</v>
      </c>
      <c r="D106" s="1">
        <v>2017</v>
      </c>
      <c r="E106" s="1" t="s">
        <v>28</v>
      </c>
      <c r="F106" s="1">
        <v>0</v>
      </c>
      <c r="G106" s="1">
        <v>0</v>
      </c>
      <c r="H106" s="1">
        <v>49.4</v>
      </c>
      <c r="I106" s="1">
        <v>20.399999999999999</v>
      </c>
      <c r="J106" s="1">
        <v>0</v>
      </c>
      <c r="K106" s="1">
        <f t="shared" si="1"/>
        <v>69.8</v>
      </c>
      <c r="L106" s="1" t="str">
        <f>_xlfn.XLOOKUP(A106,satellite_programs!A:A,satellite_programs!N:N)</f>
        <v>Operations</v>
      </c>
    </row>
    <row r="107" spans="1:12" x14ac:dyDescent="0.5">
      <c r="A107" s="1" t="s">
        <v>30</v>
      </c>
      <c r="B107" s="1" t="s">
        <v>22</v>
      </c>
      <c r="C107" s="1" t="s">
        <v>23</v>
      </c>
      <c r="D107" s="1">
        <v>2018</v>
      </c>
      <c r="E107" s="1" t="s">
        <v>28</v>
      </c>
      <c r="F107" s="1">
        <v>0</v>
      </c>
      <c r="G107" s="1">
        <v>0</v>
      </c>
      <c r="H107" s="1">
        <v>49.4</v>
      </c>
      <c r="I107" s="1">
        <v>21.01</v>
      </c>
      <c r="J107" s="1">
        <v>0</v>
      </c>
      <c r="K107" s="1">
        <f t="shared" si="1"/>
        <v>70.41</v>
      </c>
      <c r="L107" s="1" t="str">
        <f>_xlfn.XLOOKUP(A107,satellite_programs!A:A,satellite_programs!N:N)</f>
        <v>Operations</v>
      </c>
    </row>
    <row r="108" spans="1:12" x14ac:dyDescent="0.5">
      <c r="A108" s="1" t="s">
        <v>30</v>
      </c>
      <c r="B108" s="1" t="s">
        <v>22</v>
      </c>
      <c r="C108" s="1" t="s">
        <v>23</v>
      </c>
      <c r="D108" s="1">
        <v>2019</v>
      </c>
      <c r="E108" s="1" t="s">
        <v>28</v>
      </c>
      <c r="F108" s="1">
        <v>0</v>
      </c>
      <c r="G108" s="1">
        <v>0</v>
      </c>
      <c r="H108" s="1">
        <v>49.4</v>
      </c>
      <c r="I108" s="1">
        <v>21.62</v>
      </c>
      <c r="J108" s="1">
        <v>0</v>
      </c>
      <c r="K108" s="1">
        <f t="shared" si="1"/>
        <v>71.02</v>
      </c>
      <c r="L108" s="1" t="str">
        <f>_xlfn.XLOOKUP(A108,satellite_programs!A:A,satellite_programs!N:N)</f>
        <v>Operations</v>
      </c>
    </row>
    <row r="109" spans="1:12" x14ac:dyDescent="0.5">
      <c r="A109" s="1" t="s">
        <v>30</v>
      </c>
      <c r="B109" s="1" t="s">
        <v>22</v>
      </c>
      <c r="C109" s="1" t="s">
        <v>23</v>
      </c>
      <c r="D109" s="1">
        <v>2020</v>
      </c>
      <c r="E109" s="1" t="s">
        <v>28</v>
      </c>
      <c r="F109" s="1">
        <v>0</v>
      </c>
      <c r="G109" s="1">
        <v>0</v>
      </c>
      <c r="H109" s="1">
        <v>49.4</v>
      </c>
      <c r="I109" s="1">
        <v>22.24</v>
      </c>
      <c r="J109" s="1">
        <v>0</v>
      </c>
      <c r="K109" s="1">
        <f t="shared" si="1"/>
        <v>71.64</v>
      </c>
      <c r="L109" s="1" t="str">
        <f>_xlfn.XLOOKUP(A109,satellite_programs!A:A,satellite_programs!N:N)</f>
        <v>Operations</v>
      </c>
    </row>
    <row r="110" spans="1:12" x14ac:dyDescent="0.5">
      <c r="A110" s="1" t="s">
        <v>30</v>
      </c>
      <c r="B110" s="1" t="s">
        <v>22</v>
      </c>
      <c r="C110" s="1" t="s">
        <v>23</v>
      </c>
      <c r="D110" s="1">
        <v>2021</v>
      </c>
      <c r="E110" s="1" t="s">
        <v>28</v>
      </c>
      <c r="F110" s="1">
        <v>0</v>
      </c>
      <c r="G110" s="1">
        <v>0</v>
      </c>
      <c r="H110" s="1">
        <v>49.4</v>
      </c>
      <c r="I110" s="1">
        <v>22.85</v>
      </c>
      <c r="J110" s="1">
        <v>0</v>
      </c>
      <c r="K110" s="1">
        <f t="shared" si="1"/>
        <v>72.25</v>
      </c>
      <c r="L110" s="1" t="str">
        <f>_xlfn.XLOOKUP(A110,satellite_programs!A:A,satellite_programs!N:N)</f>
        <v>Operations</v>
      </c>
    </row>
    <row r="111" spans="1:12" x14ac:dyDescent="0.5">
      <c r="A111" s="1" t="s">
        <v>30</v>
      </c>
      <c r="B111" s="1" t="s">
        <v>22</v>
      </c>
      <c r="C111" s="1" t="s">
        <v>23</v>
      </c>
      <c r="D111" s="1">
        <v>2022</v>
      </c>
      <c r="E111" s="1" t="s">
        <v>28</v>
      </c>
      <c r="F111" s="1">
        <v>0</v>
      </c>
      <c r="G111" s="1">
        <v>0</v>
      </c>
      <c r="H111" s="1">
        <v>49.4</v>
      </c>
      <c r="I111" s="1">
        <v>23.46</v>
      </c>
      <c r="J111" s="1">
        <v>0</v>
      </c>
      <c r="K111" s="1">
        <f t="shared" si="1"/>
        <v>72.86</v>
      </c>
      <c r="L111" s="1" t="str">
        <f>_xlfn.XLOOKUP(A111,satellite_programs!A:A,satellite_programs!N:N)</f>
        <v>Operations</v>
      </c>
    </row>
    <row r="112" spans="1:12" x14ac:dyDescent="0.5">
      <c r="A112" s="1" t="s">
        <v>30</v>
      </c>
      <c r="B112" s="1" t="s">
        <v>22</v>
      </c>
      <c r="C112" s="1" t="s">
        <v>23</v>
      </c>
      <c r="D112" s="1">
        <v>2023</v>
      </c>
      <c r="E112" s="1" t="s">
        <v>28</v>
      </c>
      <c r="F112" s="1">
        <v>0</v>
      </c>
      <c r="G112" s="1">
        <v>0</v>
      </c>
      <c r="H112" s="1">
        <v>49.4</v>
      </c>
      <c r="I112" s="1">
        <v>24.07</v>
      </c>
      <c r="J112" s="1">
        <v>0</v>
      </c>
      <c r="K112" s="1">
        <f t="shared" si="1"/>
        <v>73.47</v>
      </c>
      <c r="L112" s="1" t="str">
        <f>_xlfn.XLOOKUP(A112,satellite_programs!A:A,satellite_programs!N:N)</f>
        <v>Operations</v>
      </c>
    </row>
    <row r="113" spans="1:12" x14ac:dyDescent="0.5">
      <c r="A113" s="1" t="s">
        <v>30</v>
      </c>
      <c r="B113" s="1" t="s">
        <v>22</v>
      </c>
      <c r="C113" s="1" t="s">
        <v>23</v>
      </c>
      <c r="D113" s="1">
        <v>2024</v>
      </c>
      <c r="E113" s="1" t="s">
        <v>28</v>
      </c>
      <c r="F113" s="1">
        <v>0</v>
      </c>
      <c r="G113" s="1">
        <v>0</v>
      </c>
      <c r="H113" s="1">
        <v>49.4</v>
      </c>
      <c r="I113" s="1">
        <v>24.68</v>
      </c>
      <c r="J113" s="1">
        <v>0</v>
      </c>
      <c r="K113" s="1">
        <f t="shared" si="1"/>
        <v>74.08</v>
      </c>
      <c r="L113" s="1" t="str">
        <f>_xlfn.XLOOKUP(A113,satellite_programs!A:A,satellite_programs!N:N)</f>
        <v>Operations</v>
      </c>
    </row>
    <row r="114" spans="1:12" x14ac:dyDescent="0.5">
      <c r="A114" s="1" t="s">
        <v>30</v>
      </c>
      <c r="B114" s="1" t="s">
        <v>22</v>
      </c>
      <c r="C114" s="1" t="s">
        <v>23</v>
      </c>
      <c r="D114" s="1">
        <v>2025</v>
      </c>
      <c r="E114" s="1" t="s">
        <v>28</v>
      </c>
      <c r="F114" s="1">
        <v>0</v>
      </c>
      <c r="G114" s="1">
        <v>0</v>
      </c>
      <c r="H114" s="1">
        <v>49.4</v>
      </c>
      <c r="I114" s="1">
        <v>25.3</v>
      </c>
      <c r="J114" s="1">
        <v>0</v>
      </c>
      <c r="K114" s="1">
        <f t="shared" si="1"/>
        <v>74.7</v>
      </c>
      <c r="L114" s="1" t="str">
        <f>_xlfn.XLOOKUP(A114,satellite_programs!A:A,satellite_programs!N:N)</f>
        <v>Operations</v>
      </c>
    </row>
    <row r="115" spans="1:12" x14ac:dyDescent="0.5">
      <c r="A115" s="1" t="s">
        <v>30</v>
      </c>
      <c r="B115" s="1" t="s">
        <v>22</v>
      </c>
      <c r="C115" s="1" t="s">
        <v>23</v>
      </c>
      <c r="D115" s="1">
        <v>2026</v>
      </c>
      <c r="E115" s="1" t="s">
        <v>28</v>
      </c>
      <c r="F115" s="1">
        <v>0</v>
      </c>
      <c r="G115" s="1">
        <v>0</v>
      </c>
      <c r="H115" s="1">
        <v>49.4</v>
      </c>
      <c r="I115" s="1">
        <v>25.91</v>
      </c>
      <c r="J115" s="1">
        <v>0</v>
      </c>
      <c r="K115" s="1">
        <f t="shared" si="1"/>
        <v>75.31</v>
      </c>
      <c r="L115" s="1" t="str">
        <f>_xlfn.XLOOKUP(A115,satellite_programs!A:A,satellite_programs!N:N)</f>
        <v>Operations</v>
      </c>
    </row>
    <row r="116" spans="1:12" x14ac:dyDescent="0.5">
      <c r="A116" s="1" t="s">
        <v>30</v>
      </c>
      <c r="B116" s="1" t="s">
        <v>22</v>
      </c>
      <c r="C116" s="1" t="s">
        <v>23</v>
      </c>
      <c r="D116" s="1">
        <v>2027</v>
      </c>
      <c r="E116" s="1" t="s">
        <v>28</v>
      </c>
      <c r="F116" s="1">
        <v>0</v>
      </c>
      <c r="G116" s="1">
        <v>0</v>
      </c>
      <c r="H116" s="1">
        <v>49.4</v>
      </c>
      <c r="I116" s="1">
        <v>26.52</v>
      </c>
      <c r="J116" s="1">
        <v>0</v>
      </c>
      <c r="K116" s="1">
        <f t="shared" si="1"/>
        <v>75.92</v>
      </c>
      <c r="L116" s="1" t="str">
        <f>_xlfn.XLOOKUP(A116,satellite_programs!A:A,satellite_programs!N:N)</f>
        <v>Operations</v>
      </c>
    </row>
    <row r="117" spans="1:12" x14ac:dyDescent="0.5">
      <c r="A117" s="1" t="s">
        <v>30</v>
      </c>
      <c r="B117" s="1" t="s">
        <v>22</v>
      </c>
      <c r="C117" s="1" t="s">
        <v>23</v>
      </c>
      <c r="D117" s="1">
        <v>2028</v>
      </c>
      <c r="E117" s="1" t="s">
        <v>28</v>
      </c>
      <c r="F117" s="1">
        <v>0</v>
      </c>
      <c r="G117" s="1">
        <v>0</v>
      </c>
      <c r="H117" s="1">
        <v>49.4</v>
      </c>
      <c r="I117" s="1">
        <v>27.13</v>
      </c>
      <c r="J117" s="1">
        <v>0</v>
      </c>
      <c r="K117" s="1">
        <f t="shared" si="1"/>
        <v>76.53</v>
      </c>
      <c r="L117" s="1" t="str">
        <f>_xlfn.XLOOKUP(A117,satellite_programs!A:A,satellite_programs!N:N)</f>
        <v>Operations</v>
      </c>
    </row>
    <row r="118" spans="1:12" x14ac:dyDescent="0.5">
      <c r="A118" s="1" t="s">
        <v>30</v>
      </c>
      <c r="B118" s="1" t="s">
        <v>22</v>
      </c>
      <c r="C118" s="1" t="s">
        <v>23</v>
      </c>
      <c r="D118" s="1">
        <v>2029</v>
      </c>
      <c r="E118" s="1" t="s">
        <v>28</v>
      </c>
      <c r="F118" s="1">
        <v>0</v>
      </c>
      <c r="G118" s="1">
        <v>0</v>
      </c>
      <c r="H118" s="1">
        <v>49.4</v>
      </c>
      <c r="I118" s="1">
        <v>27.74</v>
      </c>
      <c r="J118" s="1">
        <v>0</v>
      </c>
      <c r="K118" s="1">
        <f t="shared" si="1"/>
        <v>77.14</v>
      </c>
      <c r="L118" s="1" t="str">
        <f>_xlfn.XLOOKUP(A118,satellite_programs!A:A,satellite_programs!N:N)</f>
        <v>Operations</v>
      </c>
    </row>
    <row r="119" spans="1:12" x14ac:dyDescent="0.5">
      <c r="A119" s="1" t="s">
        <v>30</v>
      </c>
      <c r="B119" s="1" t="s">
        <v>22</v>
      </c>
      <c r="C119" s="1" t="s">
        <v>23</v>
      </c>
      <c r="D119" s="1">
        <v>2030</v>
      </c>
      <c r="E119" s="1" t="s">
        <v>28</v>
      </c>
      <c r="F119" s="1">
        <v>0</v>
      </c>
      <c r="G119" s="1">
        <v>0</v>
      </c>
      <c r="H119" s="1">
        <v>49.4</v>
      </c>
      <c r="I119" s="1">
        <v>28.36</v>
      </c>
      <c r="J119" s="1">
        <v>0</v>
      </c>
      <c r="K119" s="1">
        <f t="shared" si="1"/>
        <v>77.759999999999991</v>
      </c>
      <c r="L119" s="1" t="str">
        <f>_xlfn.XLOOKUP(A119,satellite_programs!A:A,satellite_programs!N:N)</f>
        <v>Operations</v>
      </c>
    </row>
    <row r="120" spans="1:12" x14ac:dyDescent="0.5">
      <c r="A120" s="1" t="s">
        <v>30</v>
      </c>
      <c r="B120" s="1" t="s">
        <v>22</v>
      </c>
      <c r="C120" s="1" t="s">
        <v>23</v>
      </c>
      <c r="D120" s="1">
        <v>2031</v>
      </c>
      <c r="E120" s="1" t="s">
        <v>28</v>
      </c>
      <c r="F120" s="1">
        <v>0</v>
      </c>
      <c r="G120" s="1">
        <v>0</v>
      </c>
      <c r="H120" s="1">
        <v>49.4</v>
      </c>
      <c r="I120" s="1">
        <v>28.97</v>
      </c>
      <c r="J120" s="1">
        <v>0</v>
      </c>
      <c r="K120" s="1">
        <f t="shared" si="1"/>
        <v>78.37</v>
      </c>
      <c r="L120" s="1" t="str">
        <f>_xlfn.XLOOKUP(A120,satellite_programs!A:A,satellite_programs!N:N)</f>
        <v>Operations</v>
      </c>
    </row>
    <row r="121" spans="1:12" x14ac:dyDescent="0.5">
      <c r="A121" s="1" t="s">
        <v>30</v>
      </c>
      <c r="B121" s="1" t="s">
        <v>22</v>
      </c>
      <c r="C121" s="1" t="s">
        <v>23</v>
      </c>
      <c r="D121" s="1">
        <v>2032</v>
      </c>
      <c r="E121" s="1" t="s">
        <v>28</v>
      </c>
      <c r="F121" s="1">
        <v>0</v>
      </c>
      <c r="G121" s="1">
        <v>0</v>
      </c>
      <c r="H121" s="1">
        <v>49.4</v>
      </c>
      <c r="I121" s="1">
        <v>29.58</v>
      </c>
      <c r="J121" s="1">
        <v>0</v>
      </c>
      <c r="K121" s="1">
        <f t="shared" si="1"/>
        <v>78.97999999999999</v>
      </c>
      <c r="L121" s="1" t="str">
        <f>_xlfn.XLOOKUP(A121,satellite_programs!A:A,satellite_programs!N:N)</f>
        <v>Operations</v>
      </c>
    </row>
    <row r="122" spans="1:12" x14ac:dyDescent="0.5">
      <c r="A122" s="1" t="s">
        <v>30</v>
      </c>
      <c r="B122" s="1" t="s">
        <v>22</v>
      </c>
      <c r="C122" s="1" t="s">
        <v>23</v>
      </c>
      <c r="D122" s="1">
        <v>2033</v>
      </c>
      <c r="E122" s="1" t="s">
        <v>28</v>
      </c>
      <c r="F122" s="1">
        <v>0</v>
      </c>
      <c r="G122" s="1">
        <v>0</v>
      </c>
      <c r="H122" s="1">
        <v>49.4</v>
      </c>
      <c r="I122" s="1">
        <v>30.19</v>
      </c>
      <c r="J122" s="1">
        <v>0</v>
      </c>
      <c r="K122" s="1">
        <f t="shared" si="1"/>
        <v>79.59</v>
      </c>
      <c r="L122" s="1" t="str">
        <f>_xlfn.XLOOKUP(A122,satellite_programs!A:A,satellite_programs!N:N)</f>
        <v>Operations</v>
      </c>
    </row>
    <row r="123" spans="1:12" x14ac:dyDescent="0.5">
      <c r="A123" s="1" t="s">
        <v>30</v>
      </c>
      <c r="B123" s="1" t="s">
        <v>22</v>
      </c>
      <c r="C123" s="1" t="s">
        <v>23</v>
      </c>
      <c r="D123" s="1">
        <v>2034</v>
      </c>
      <c r="E123" s="1" t="s">
        <v>28</v>
      </c>
      <c r="F123" s="1">
        <v>0</v>
      </c>
      <c r="G123" s="1">
        <v>0</v>
      </c>
      <c r="H123" s="1">
        <v>49.4</v>
      </c>
      <c r="I123" s="1">
        <v>30.8</v>
      </c>
      <c r="J123" s="1">
        <v>0</v>
      </c>
      <c r="K123" s="1">
        <f t="shared" si="1"/>
        <v>80.2</v>
      </c>
      <c r="L123" s="1" t="str">
        <f>_xlfn.XLOOKUP(A123,satellite_programs!A:A,satellite_programs!N:N)</f>
        <v>Operations</v>
      </c>
    </row>
    <row r="124" spans="1:12" x14ac:dyDescent="0.5">
      <c r="A124" s="1" t="s">
        <v>30</v>
      </c>
      <c r="B124" s="1" t="s">
        <v>22</v>
      </c>
      <c r="C124" s="1" t="s">
        <v>23</v>
      </c>
      <c r="D124" s="1">
        <v>2036</v>
      </c>
      <c r="E124" s="1" t="s">
        <v>103</v>
      </c>
      <c r="F124" s="1">
        <v>0</v>
      </c>
      <c r="G124" s="1">
        <v>0</v>
      </c>
      <c r="H124" s="1">
        <v>0</v>
      </c>
      <c r="I124" s="1">
        <v>0</v>
      </c>
      <c r="J124" s="1">
        <v>24.2</v>
      </c>
      <c r="K124" s="1">
        <f t="shared" si="1"/>
        <v>24.2</v>
      </c>
      <c r="L124" s="1" t="str">
        <f>_xlfn.XLOOKUP(A124,satellite_programs!A:A,satellite_programs!N:N)</f>
        <v>Operations</v>
      </c>
    </row>
    <row r="125" spans="1:12" x14ac:dyDescent="0.5">
      <c r="A125" s="1" t="s">
        <v>84</v>
      </c>
      <c r="B125" s="1" t="s">
        <v>56</v>
      </c>
      <c r="C125" s="1" t="s">
        <v>85</v>
      </c>
      <c r="D125" s="1">
        <v>2003</v>
      </c>
      <c r="E125" s="1" t="s">
        <v>104</v>
      </c>
      <c r="F125" s="1">
        <v>6.49</v>
      </c>
      <c r="G125" s="1">
        <v>0</v>
      </c>
      <c r="H125" s="1">
        <v>0</v>
      </c>
      <c r="I125" s="1">
        <v>0</v>
      </c>
      <c r="J125" s="1">
        <v>0</v>
      </c>
      <c r="K125" s="1">
        <f t="shared" si="1"/>
        <v>6.49</v>
      </c>
      <c r="L125" s="1" t="str">
        <f>_xlfn.XLOOKUP(A125,satellite_programs!A:A,satellite_programs!N:N)</f>
        <v>Retired</v>
      </c>
    </row>
    <row r="126" spans="1:12" x14ac:dyDescent="0.5">
      <c r="A126" s="1" t="s">
        <v>84</v>
      </c>
      <c r="B126" s="1" t="s">
        <v>56</v>
      </c>
      <c r="C126" s="1" t="s">
        <v>85</v>
      </c>
      <c r="D126" s="1">
        <v>2004</v>
      </c>
      <c r="E126" s="1" t="s">
        <v>104</v>
      </c>
      <c r="F126" s="1">
        <v>12.98</v>
      </c>
      <c r="G126" s="1">
        <v>0</v>
      </c>
      <c r="H126" s="1">
        <v>0</v>
      </c>
      <c r="I126" s="1">
        <v>0</v>
      </c>
      <c r="J126" s="1">
        <v>0</v>
      </c>
      <c r="K126" s="1">
        <f t="shared" si="1"/>
        <v>12.98</v>
      </c>
      <c r="L126" s="1" t="str">
        <f>_xlfn.XLOOKUP(A126,satellite_programs!A:A,satellite_programs!N:N)</f>
        <v>Retired</v>
      </c>
    </row>
    <row r="127" spans="1:12" x14ac:dyDescent="0.5">
      <c r="A127" s="1" t="s">
        <v>84</v>
      </c>
      <c r="B127" s="1" t="s">
        <v>56</v>
      </c>
      <c r="C127" s="1" t="s">
        <v>85</v>
      </c>
      <c r="D127" s="1">
        <v>2005</v>
      </c>
      <c r="E127" s="1" t="s">
        <v>104</v>
      </c>
      <c r="F127" s="1">
        <v>23.36</v>
      </c>
      <c r="G127" s="1">
        <v>0</v>
      </c>
      <c r="H127" s="1">
        <v>0</v>
      </c>
      <c r="I127" s="1">
        <v>0</v>
      </c>
      <c r="J127" s="1">
        <v>0</v>
      </c>
      <c r="K127" s="1">
        <f t="shared" si="1"/>
        <v>23.36</v>
      </c>
      <c r="L127" s="1" t="str">
        <f>_xlfn.XLOOKUP(A127,satellite_programs!A:A,satellite_programs!N:N)</f>
        <v>Retired</v>
      </c>
    </row>
    <row r="128" spans="1:12" x14ac:dyDescent="0.5">
      <c r="A128" s="1" t="s">
        <v>84</v>
      </c>
      <c r="B128" s="1" t="s">
        <v>56</v>
      </c>
      <c r="C128" s="1" t="s">
        <v>85</v>
      </c>
      <c r="D128" s="1">
        <v>2006</v>
      </c>
      <c r="E128" s="1" t="s">
        <v>104</v>
      </c>
      <c r="F128" s="1">
        <v>28.55</v>
      </c>
      <c r="G128" s="1">
        <v>0</v>
      </c>
      <c r="H128" s="1">
        <v>0</v>
      </c>
      <c r="I128" s="1">
        <v>0</v>
      </c>
      <c r="J128" s="1">
        <v>0</v>
      </c>
      <c r="K128" s="1">
        <f t="shared" si="1"/>
        <v>28.55</v>
      </c>
      <c r="L128" s="1" t="str">
        <f>_xlfn.XLOOKUP(A128,satellite_programs!A:A,satellite_programs!N:N)</f>
        <v>Retired</v>
      </c>
    </row>
    <row r="129" spans="1:12" x14ac:dyDescent="0.5">
      <c r="A129" s="1" t="s">
        <v>84</v>
      </c>
      <c r="B129" s="1" t="s">
        <v>56</v>
      </c>
      <c r="C129" s="1" t="s">
        <v>85</v>
      </c>
      <c r="D129" s="1">
        <v>2007</v>
      </c>
      <c r="E129" s="1" t="s">
        <v>104</v>
      </c>
      <c r="F129" s="1">
        <v>25.96</v>
      </c>
      <c r="G129" s="1">
        <v>25.13</v>
      </c>
      <c r="H129" s="1">
        <v>0</v>
      </c>
      <c r="I129" s="1">
        <v>0</v>
      </c>
      <c r="J129" s="1">
        <v>0</v>
      </c>
      <c r="K129" s="1">
        <f t="shared" si="1"/>
        <v>51.09</v>
      </c>
      <c r="L129" s="1" t="str">
        <f>_xlfn.XLOOKUP(A129,satellite_programs!A:A,satellite_programs!N:N)</f>
        <v>Retired</v>
      </c>
    </row>
    <row r="130" spans="1:12" x14ac:dyDescent="0.5">
      <c r="A130" s="1" t="s">
        <v>84</v>
      </c>
      <c r="B130" s="1" t="s">
        <v>56</v>
      </c>
      <c r="C130" s="1" t="s">
        <v>85</v>
      </c>
      <c r="D130" s="1">
        <v>2008</v>
      </c>
      <c r="E130" s="1" t="s">
        <v>104</v>
      </c>
      <c r="F130" s="1">
        <v>16.88</v>
      </c>
      <c r="G130" s="1">
        <v>20.56</v>
      </c>
      <c r="H130" s="1">
        <v>0</v>
      </c>
      <c r="I130" s="1">
        <v>0</v>
      </c>
      <c r="J130" s="1">
        <v>0</v>
      </c>
      <c r="K130" s="1">
        <f t="shared" ref="K130:K193" si="2">SUM(F130:J130)</f>
        <v>37.44</v>
      </c>
      <c r="L130" s="1" t="str">
        <f>_xlfn.XLOOKUP(A130,satellite_programs!A:A,satellite_programs!N:N)</f>
        <v>Retired</v>
      </c>
    </row>
    <row r="131" spans="1:12" x14ac:dyDescent="0.5">
      <c r="A131" s="1" t="s">
        <v>84</v>
      </c>
      <c r="B131" s="1" t="s">
        <v>56</v>
      </c>
      <c r="C131" s="1" t="s">
        <v>85</v>
      </c>
      <c r="D131" s="1">
        <v>2009</v>
      </c>
      <c r="E131" s="1" t="s">
        <v>28</v>
      </c>
      <c r="F131" s="1">
        <v>0</v>
      </c>
      <c r="G131" s="1">
        <v>0</v>
      </c>
      <c r="H131" s="1">
        <v>52.92</v>
      </c>
      <c r="I131" s="1">
        <v>25.76</v>
      </c>
      <c r="J131" s="1">
        <v>0</v>
      </c>
      <c r="K131" s="1">
        <f t="shared" si="2"/>
        <v>78.680000000000007</v>
      </c>
      <c r="L131" s="1" t="str">
        <f>_xlfn.XLOOKUP(A131,satellite_programs!A:A,satellite_programs!N:N)</f>
        <v>Retired</v>
      </c>
    </row>
    <row r="132" spans="1:12" x14ac:dyDescent="0.5">
      <c r="A132" s="1" t="s">
        <v>84</v>
      </c>
      <c r="B132" s="1" t="s">
        <v>56</v>
      </c>
      <c r="C132" s="1" t="s">
        <v>85</v>
      </c>
      <c r="D132" s="1">
        <v>2010</v>
      </c>
      <c r="E132" s="1" t="s">
        <v>28</v>
      </c>
      <c r="F132" s="1">
        <v>0</v>
      </c>
      <c r="G132" s="1">
        <v>0</v>
      </c>
      <c r="H132" s="1">
        <v>52.92</v>
      </c>
      <c r="I132" s="1">
        <v>26.53</v>
      </c>
      <c r="J132" s="1">
        <v>0</v>
      </c>
      <c r="K132" s="1">
        <f t="shared" si="2"/>
        <v>79.45</v>
      </c>
      <c r="L132" s="1" t="str">
        <f>_xlfn.XLOOKUP(A132,satellite_programs!A:A,satellite_programs!N:N)</f>
        <v>Retired</v>
      </c>
    </row>
    <row r="133" spans="1:12" x14ac:dyDescent="0.5">
      <c r="A133" s="1" t="s">
        <v>84</v>
      </c>
      <c r="B133" s="1" t="s">
        <v>56</v>
      </c>
      <c r="C133" s="1" t="s">
        <v>85</v>
      </c>
      <c r="D133" s="1">
        <v>2011</v>
      </c>
      <c r="E133" s="1" t="s">
        <v>28</v>
      </c>
      <c r="F133" s="1">
        <v>0</v>
      </c>
      <c r="G133" s="1">
        <v>0</v>
      </c>
      <c r="H133" s="1">
        <v>52.92</v>
      </c>
      <c r="I133" s="1">
        <v>27.31</v>
      </c>
      <c r="J133" s="1">
        <v>0</v>
      </c>
      <c r="K133" s="1">
        <f t="shared" si="2"/>
        <v>80.23</v>
      </c>
      <c r="L133" s="1" t="str">
        <f>_xlfn.XLOOKUP(A133,satellite_programs!A:A,satellite_programs!N:N)</f>
        <v>Retired</v>
      </c>
    </row>
    <row r="134" spans="1:12" x14ac:dyDescent="0.5">
      <c r="A134" s="1" t="s">
        <v>84</v>
      </c>
      <c r="B134" s="1" t="s">
        <v>56</v>
      </c>
      <c r="C134" s="1" t="s">
        <v>85</v>
      </c>
      <c r="D134" s="1">
        <v>2012</v>
      </c>
      <c r="E134" s="1" t="s">
        <v>28</v>
      </c>
      <c r="F134" s="1">
        <v>0</v>
      </c>
      <c r="G134" s="1">
        <v>0</v>
      </c>
      <c r="H134" s="1">
        <v>52.92</v>
      </c>
      <c r="I134" s="1">
        <v>28.08</v>
      </c>
      <c r="J134" s="1">
        <v>0</v>
      </c>
      <c r="K134" s="1">
        <f t="shared" si="2"/>
        <v>81</v>
      </c>
      <c r="L134" s="1" t="str">
        <f>_xlfn.XLOOKUP(A134,satellite_programs!A:A,satellite_programs!N:N)</f>
        <v>Retired</v>
      </c>
    </row>
    <row r="135" spans="1:12" x14ac:dyDescent="0.5">
      <c r="A135" s="1" t="s">
        <v>84</v>
      </c>
      <c r="B135" s="1" t="s">
        <v>56</v>
      </c>
      <c r="C135" s="1" t="s">
        <v>85</v>
      </c>
      <c r="D135" s="1">
        <v>2013</v>
      </c>
      <c r="E135" s="1" t="s">
        <v>28</v>
      </c>
      <c r="F135" s="1">
        <v>0</v>
      </c>
      <c r="G135" s="1">
        <v>0</v>
      </c>
      <c r="H135" s="1">
        <v>52.92</v>
      </c>
      <c r="I135" s="1">
        <v>28.85</v>
      </c>
      <c r="J135" s="1">
        <v>0</v>
      </c>
      <c r="K135" s="1">
        <f t="shared" si="2"/>
        <v>81.77000000000001</v>
      </c>
      <c r="L135" s="1" t="str">
        <f>_xlfn.XLOOKUP(A135,satellite_programs!A:A,satellite_programs!N:N)</f>
        <v>Retired</v>
      </c>
    </row>
    <row r="136" spans="1:12" x14ac:dyDescent="0.5">
      <c r="A136" s="1" t="s">
        <v>84</v>
      </c>
      <c r="B136" s="1" t="s">
        <v>56</v>
      </c>
      <c r="C136" s="1" t="s">
        <v>85</v>
      </c>
      <c r="D136" s="1">
        <v>2014</v>
      </c>
      <c r="E136" s="1" t="s">
        <v>28</v>
      </c>
      <c r="F136" s="1">
        <v>0</v>
      </c>
      <c r="G136" s="1">
        <v>0</v>
      </c>
      <c r="H136" s="1">
        <v>52.92</v>
      </c>
      <c r="I136" s="1">
        <v>29.62</v>
      </c>
      <c r="J136" s="1">
        <v>0</v>
      </c>
      <c r="K136" s="1">
        <f t="shared" si="2"/>
        <v>82.54</v>
      </c>
      <c r="L136" s="1" t="str">
        <f>_xlfn.XLOOKUP(A136,satellite_programs!A:A,satellite_programs!N:N)</f>
        <v>Retired</v>
      </c>
    </row>
    <row r="137" spans="1:12" x14ac:dyDescent="0.5">
      <c r="A137" s="1" t="s">
        <v>84</v>
      </c>
      <c r="B137" s="1" t="s">
        <v>56</v>
      </c>
      <c r="C137" s="1" t="s">
        <v>85</v>
      </c>
      <c r="D137" s="1">
        <v>2015</v>
      </c>
      <c r="E137" s="1" t="s">
        <v>28</v>
      </c>
      <c r="F137" s="1">
        <v>0</v>
      </c>
      <c r="G137" s="1">
        <v>0</v>
      </c>
      <c r="H137" s="1">
        <v>52.92</v>
      </c>
      <c r="I137" s="1">
        <v>30.4</v>
      </c>
      <c r="J137" s="1">
        <v>0</v>
      </c>
      <c r="K137" s="1">
        <f t="shared" si="2"/>
        <v>83.32</v>
      </c>
      <c r="L137" s="1" t="str">
        <f>_xlfn.XLOOKUP(A137,satellite_programs!A:A,satellite_programs!N:N)</f>
        <v>Retired</v>
      </c>
    </row>
    <row r="138" spans="1:12" x14ac:dyDescent="0.5">
      <c r="A138" s="1" t="s">
        <v>84</v>
      </c>
      <c r="B138" s="1" t="s">
        <v>56</v>
      </c>
      <c r="C138" s="1" t="s">
        <v>85</v>
      </c>
      <c r="D138" s="1">
        <v>2016</v>
      </c>
      <c r="E138" s="1" t="s">
        <v>28</v>
      </c>
      <c r="F138" s="1">
        <v>0</v>
      </c>
      <c r="G138" s="1">
        <v>0</v>
      </c>
      <c r="H138" s="1">
        <v>52.92</v>
      </c>
      <c r="I138" s="1">
        <v>31.17</v>
      </c>
      <c r="J138" s="1">
        <v>0</v>
      </c>
      <c r="K138" s="1">
        <f t="shared" si="2"/>
        <v>84.09</v>
      </c>
      <c r="L138" s="1" t="str">
        <f>_xlfn.XLOOKUP(A138,satellite_programs!A:A,satellite_programs!N:N)</f>
        <v>Retired</v>
      </c>
    </row>
    <row r="139" spans="1:12" x14ac:dyDescent="0.5">
      <c r="A139" s="1" t="s">
        <v>84</v>
      </c>
      <c r="B139" s="1" t="s">
        <v>56</v>
      </c>
      <c r="C139" s="1" t="s">
        <v>85</v>
      </c>
      <c r="D139" s="1">
        <v>2018</v>
      </c>
      <c r="E139" s="1" t="s">
        <v>103</v>
      </c>
      <c r="F139" s="1">
        <v>0</v>
      </c>
      <c r="G139" s="1">
        <v>0</v>
      </c>
      <c r="H139" s="1">
        <v>0</v>
      </c>
      <c r="I139" s="1">
        <v>0</v>
      </c>
      <c r="J139" s="1">
        <v>6.16</v>
      </c>
      <c r="K139" s="1">
        <f t="shared" si="2"/>
        <v>6.16</v>
      </c>
      <c r="L139" s="1" t="str">
        <f>_xlfn.XLOOKUP(A139,satellite_programs!A:A,satellite_programs!N:N)</f>
        <v>Retired</v>
      </c>
    </row>
    <row r="140" spans="1:12" x14ac:dyDescent="0.5">
      <c r="A140" s="1" t="s">
        <v>86</v>
      </c>
      <c r="B140" s="1" t="s">
        <v>56</v>
      </c>
      <c r="C140" s="1" t="s">
        <v>85</v>
      </c>
      <c r="D140" s="1">
        <v>2007</v>
      </c>
      <c r="E140" s="1" t="s">
        <v>104</v>
      </c>
      <c r="F140" s="1">
        <v>8.34</v>
      </c>
      <c r="G140" s="1">
        <v>0</v>
      </c>
      <c r="H140" s="1">
        <v>0</v>
      </c>
      <c r="I140" s="1">
        <v>0</v>
      </c>
      <c r="J140" s="1">
        <v>0</v>
      </c>
      <c r="K140" s="1">
        <f t="shared" si="2"/>
        <v>8.34</v>
      </c>
      <c r="L140" s="1" t="str">
        <f>_xlfn.XLOOKUP(A140,satellite_programs!A:A,satellite_programs!N:N)</f>
        <v>Retired</v>
      </c>
    </row>
    <row r="141" spans="1:12" x14ac:dyDescent="0.5">
      <c r="A141" s="1" t="s">
        <v>86</v>
      </c>
      <c r="B141" s="1" t="s">
        <v>56</v>
      </c>
      <c r="C141" s="1" t="s">
        <v>85</v>
      </c>
      <c r="D141" s="1">
        <v>2008</v>
      </c>
      <c r="E141" s="1" t="s">
        <v>104</v>
      </c>
      <c r="F141" s="1">
        <v>16.68</v>
      </c>
      <c r="G141" s="1">
        <v>0</v>
      </c>
      <c r="H141" s="1">
        <v>0</v>
      </c>
      <c r="I141" s="1">
        <v>0</v>
      </c>
      <c r="J141" s="1">
        <v>0</v>
      </c>
      <c r="K141" s="1">
        <f t="shared" si="2"/>
        <v>16.68</v>
      </c>
      <c r="L141" s="1" t="str">
        <f>_xlfn.XLOOKUP(A141,satellite_programs!A:A,satellite_programs!N:N)</f>
        <v>Retired</v>
      </c>
    </row>
    <row r="142" spans="1:12" x14ac:dyDescent="0.5">
      <c r="A142" s="1" t="s">
        <v>86</v>
      </c>
      <c r="B142" s="1" t="s">
        <v>56</v>
      </c>
      <c r="C142" s="1" t="s">
        <v>85</v>
      </c>
      <c r="D142" s="1">
        <v>2009</v>
      </c>
      <c r="E142" s="1" t="s">
        <v>104</v>
      </c>
      <c r="F142" s="1">
        <v>30.03</v>
      </c>
      <c r="G142" s="1">
        <v>0</v>
      </c>
      <c r="H142" s="1">
        <v>0</v>
      </c>
      <c r="I142" s="1">
        <v>0</v>
      </c>
      <c r="J142" s="1">
        <v>0</v>
      </c>
      <c r="K142" s="1">
        <f t="shared" si="2"/>
        <v>30.03</v>
      </c>
      <c r="L142" s="1" t="str">
        <f>_xlfn.XLOOKUP(A142,satellite_programs!A:A,satellite_programs!N:N)</f>
        <v>Retired</v>
      </c>
    </row>
    <row r="143" spans="1:12" x14ac:dyDescent="0.5">
      <c r="A143" s="1" t="s">
        <v>86</v>
      </c>
      <c r="B143" s="1" t="s">
        <v>56</v>
      </c>
      <c r="C143" s="1" t="s">
        <v>85</v>
      </c>
      <c r="D143" s="1">
        <v>2010</v>
      </c>
      <c r="E143" s="1" t="s">
        <v>104</v>
      </c>
      <c r="F143" s="1">
        <v>36.700000000000003</v>
      </c>
      <c r="G143" s="1">
        <v>0</v>
      </c>
      <c r="H143" s="1">
        <v>0</v>
      </c>
      <c r="I143" s="1">
        <v>0</v>
      </c>
      <c r="J143" s="1">
        <v>0</v>
      </c>
      <c r="K143" s="1">
        <f t="shared" si="2"/>
        <v>36.700000000000003</v>
      </c>
      <c r="L143" s="1" t="str">
        <f>_xlfn.XLOOKUP(A143,satellite_programs!A:A,satellite_programs!N:N)</f>
        <v>Retired</v>
      </c>
    </row>
    <row r="144" spans="1:12" x14ac:dyDescent="0.5">
      <c r="A144" s="1" t="s">
        <v>86</v>
      </c>
      <c r="B144" s="1" t="s">
        <v>56</v>
      </c>
      <c r="C144" s="1" t="s">
        <v>85</v>
      </c>
      <c r="D144" s="1">
        <v>2011</v>
      </c>
      <c r="E144" s="1" t="s">
        <v>104</v>
      </c>
      <c r="F144" s="1">
        <v>33.369999999999997</v>
      </c>
      <c r="G144" s="1">
        <v>32.299999999999997</v>
      </c>
      <c r="H144" s="1">
        <v>0</v>
      </c>
      <c r="I144" s="1">
        <v>0</v>
      </c>
      <c r="J144" s="1">
        <v>0</v>
      </c>
      <c r="K144" s="1">
        <f t="shared" si="2"/>
        <v>65.669999999999987</v>
      </c>
      <c r="L144" s="1" t="str">
        <f>_xlfn.XLOOKUP(A144,satellite_programs!A:A,satellite_programs!N:N)</f>
        <v>Retired</v>
      </c>
    </row>
    <row r="145" spans="1:12" x14ac:dyDescent="0.5">
      <c r="A145" s="1" t="s">
        <v>86</v>
      </c>
      <c r="B145" s="1" t="s">
        <v>56</v>
      </c>
      <c r="C145" s="1" t="s">
        <v>85</v>
      </c>
      <c r="D145" s="1">
        <v>2012</v>
      </c>
      <c r="E145" s="1" t="s">
        <v>104</v>
      </c>
      <c r="F145" s="1">
        <v>21.7</v>
      </c>
      <c r="G145" s="1">
        <v>26.43</v>
      </c>
      <c r="H145" s="1">
        <v>0</v>
      </c>
      <c r="I145" s="1">
        <v>0</v>
      </c>
      <c r="J145" s="1">
        <v>0</v>
      </c>
      <c r="K145" s="1">
        <f t="shared" si="2"/>
        <v>48.129999999999995</v>
      </c>
      <c r="L145" s="1" t="str">
        <f>_xlfn.XLOOKUP(A145,satellite_programs!A:A,satellite_programs!N:N)</f>
        <v>Retired</v>
      </c>
    </row>
    <row r="146" spans="1:12" x14ac:dyDescent="0.5">
      <c r="A146" s="1" t="s">
        <v>86</v>
      </c>
      <c r="B146" s="1" t="s">
        <v>56</v>
      </c>
      <c r="C146" s="1" t="s">
        <v>85</v>
      </c>
      <c r="D146" s="1">
        <v>2013</v>
      </c>
      <c r="E146" s="1" t="s">
        <v>28</v>
      </c>
      <c r="F146" s="1">
        <v>0</v>
      </c>
      <c r="G146" s="1">
        <v>0</v>
      </c>
      <c r="H146" s="1">
        <v>55.28</v>
      </c>
      <c r="I146" s="1">
        <v>26.72</v>
      </c>
      <c r="J146" s="1">
        <v>0</v>
      </c>
      <c r="K146" s="1">
        <f t="shared" si="2"/>
        <v>82</v>
      </c>
      <c r="L146" s="1" t="str">
        <f>_xlfn.XLOOKUP(A146,satellite_programs!A:A,satellite_programs!N:N)</f>
        <v>Retired</v>
      </c>
    </row>
    <row r="147" spans="1:12" x14ac:dyDescent="0.5">
      <c r="A147" s="1" t="s">
        <v>86</v>
      </c>
      <c r="B147" s="1" t="s">
        <v>56</v>
      </c>
      <c r="C147" s="1" t="s">
        <v>85</v>
      </c>
      <c r="D147" s="1">
        <v>2014</v>
      </c>
      <c r="E147" s="1" t="s">
        <v>28</v>
      </c>
      <c r="F147" s="1">
        <v>0</v>
      </c>
      <c r="G147" s="1">
        <v>0</v>
      </c>
      <c r="H147" s="1">
        <v>55.28</v>
      </c>
      <c r="I147" s="1">
        <v>27.52</v>
      </c>
      <c r="J147" s="1">
        <v>0</v>
      </c>
      <c r="K147" s="1">
        <f t="shared" si="2"/>
        <v>82.8</v>
      </c>
      <c r="L147" s="1" t="str">
        <f>_xlfn.XLOOKUP(A147,satellite_programs!A:A,satellite_programs!N:N)</f>
        <v>Retired</v>
      </c>
    </row>
    <row r="148" spans="1:12" x14ac:dyDescent="0.5">
      <c r="A148" s="1" t="s">
        <v>86</v>
      </c>
      <c r="B148" s="1" t="s">
        <v>56</v>
      </c>
      <c r="C148" s="1" t="s">
        <v>85</v>
      </c>
      <c r="D148" s="1">
        <v>2015</v>
      </c>
      <c r="E148" s="1" t="s">
        <v>28</v>
      </c>
      <c r="F148" s="1">
        <v>0</v>
      </c>
      <c r="G148" s="1">
        <v>0</v>
      </c>
      <c r="H148" s="1">
        <v>55.28</v>
      </c>
      <c r="I148" s="1">
        <v>28.32</v>
      </c>
      <c r="J148" s="1">
        <v>0</v>
      </c>
      <c r="K148" s="1">
        <f t="shared" si="2"/>
        <v>83.6</v>
      </c>
      <c r="L148" s="1" t="str">
        <f>_xlfn.XLOOKUP(A148,satellite_programs!A:A,satellite_programs!N:N)</f>
        <v>Retired</v>
      </c>
    </row>
    <row r="149" spans="1:12" x14ac:dyDescent="0.5">
      <c r="A149" s="1" t="s">
        <v>86</v>
      </c>
      <c r="B149" s="1" t="s">
        <v>56</v>
      </c>
      <c r="C149" s="1" t="s">
        <v>85</v>
      </c>
      <c r="D149" s="1">
        <v>2016</v>
      </c>
      <c r="E149" s="1" t="s">
        <v>28</v>
      </c>
      <c r="F149" s="1">
        <v>0</v>
      </c>
      <c r="G149" s="1">
        <v>0</v>
      </c>
      <c r="H149" s="1">
        <v>55.28</v>
      </c>
      <c r="I149" s="1">
        <v>29.12</v>
      </c>
      <c r="J149" s="1">
        <v>0</v>
      </c>
      <c r="K149" s="1">
        <f t="shared" si="2"/>
        <v>84.4</v>
      </c>
      <c r="L149" s="1" t="str">
        <f>_xlfn.XLOOKUP(A149,satellite_programs!A:A,satellite_programs!N:N)</f>
        <v>Retired</v>
      </c>
    </row>
    <row r="150" spans="1:12" x14ac:dyDescent="0.5">
      <c r="A150" s="1" t="s">
        <v>86</v>
      </c>
      <c r="B150" s="1" t="s">
        <v>56</v>
      </c>
      <c r="C150" s="1" t="s">
        <v>85</v>
      </c>
      <c r="D150" s="1">
        <v>2017</v>
      </c>
      <c r="E150" s="1" t="s">
        <v>28</v>
      </c>
      <c r="F150" s="1">
        <v>0</v>
      </c>
      <c r="G150" s="1">
        <v>0</v>
      </c>
      <c r="H150" s="1">
        <v>55.28</v>
      </c>
      <c r="I150" s="1">
        <v>29.93</v>
      </c>
      <c r="J150" s="1">
        <v>0</v>
      </c>
      <c r="K150" s="1">
        <f t="shared" si="2"/>
        <v>85.210000000000008</v>
      </c>
      <c r="L150" s="1" t="str">
        <f>_xlfn.XLOOKUP(A150,satellite_programs!A:A,satellite_programs!N:N)</f>
        <v>Retired</v>
      </c>
    </row>
    <row r="151" spans="1:12" x14ac:dyDescent="0.5">
      <c r="A151" s="1" t="s">
        <v>86</v>
      </c>
      <c r="B151" s="1" t="s">
        <v>56</v>
      </c>
      <c r="C151" s="1" t="s">
        <v>85</v>
      </c>
      <c r="D151" s="1">
        <v>2018</v>
      </c>
      <c r="E151" s="1" t="s">
        <v>28</v>
      </c>
      <c r="F151" s="1">
        <v>0</v>
      </c>
      <c r="G151" s="1">
        <v>0</v>
      </c>
      <c r="H151" s="1">
        <v>55.28</v>
      </c>
      <c r="I151" s="1">
        <v>30.73</v>
      </c>
      <c r="J151" s="1">
        <v>0</v>
      </c>
      <c r="K151" s="1">
        <f t="shared" si="2"/>
        <v>86.01</v>
      </c>
      <c r="L151" s="1" t="str">
        <f>_xlfn.XLOOKUP(A151,satellite_programs!A:A,satellite_programs!N:N)</f>
        <v>Retired</v>
      </c>
    </row>
    <row r="152" spans="1:12" x14ac:dyDescent="0.5">
      <c r="A152" s="1" t="s">
        <v>86</v>
      </c>
      <c r="B152" s="1" t="s">
        <v>56</v>
      </c>
      <c r="C152" s="1" t="s">
        <v>85</v>
      </c>
      <c r="D152" s="1">
        <v>2019</v>
      </c>
      <c r="E152" s="1" t="s">
        <v>28</v>
      </c>
      <c r="F152" s="1">
        <v>0</v>
      </c>
      <c r="G152" s="1">
        <v>0</v>
      </c>
      <c r="H152" s="1">
        <v>55.28</v>
      </c>
      <c r="I152" s="1">
        <v>31.53</v>
      </c>
      <c r="J152" s="1">
        <v>0</v>
      </c>
      <c r="K152" s="1">
        <f t="shared" si="2"/>
        <v>86.81</v>
      </c>
      <c r="L152" s="1" t="str">
        <f>_xlfn.XLOOKUP(A152,satellite_programs!A:A,satellite_programs!N:N)</f>
        <v>Retired</v>
      </c>
    </row>
    <row r="153" spans="1:12" x14ac:dyDescent="0.5">
      <c r="A153" s="1" t="s">
        <v>86</v>
      </c>
      <c r="B153" s="1" t="s">
        <v>56</v>
      </c>
      <c r="C153" s="1" t="s">
        <v>85</v>
      </c>
      <c r="D153" s="1">
        <v>2020</v>
      </c>
      <c r="E153" s="1" t="s">
        <v>28</v>
      </c>
      <c r="F153" s="1">
        <v>0</v>
      </c>
      <c r="G153" s="1">
        <v>0</v>
      </c>
      <c r="H153" s="1">
        <v>55.28</v>
      </c>
      <c r="I153" s="1">
        <v>32.33</v>
      </c>
      <c r="J153" s="1">
        <v>0</v>
      </c>
      <c r="K153" s="1">
        <f t="shared" si="2"/>
        <v>87.61</v>
      </c>
      <c r="L153" s="1" t="str">
        <f>_xlfn.XLOOKUP(A153,satellite_programs!A:A,satellite_programs!N:N)</f>
        <v>Retired</v>
      </c>
    </row>
    <row r="154" spans="1:12" x14ac:dyDescent="0.5">
      <c r="A154" s="1" t="s">
        <v>86</v>
      </c>
      <c r="B154" s="1" t="s">
        <v>56</v>
      </c>
      <c r="C154" s="1" t="s">
        <v>85</v>
      </c>
      <c r="D154" s="1">
        <v>2021</v>
      </c>
      <c r="E154" s="1" t="s">
        <v>28</v>
      </c>
      <c r="F154" s="1">
        <v>0</v>
      </c>
      <c r="G154" s="1">
        <v>0</v>
      </c>
      <c r="H154" s="1">
        <v>55.28</v>
      </c>
      <c r="I154" s="1">
        <v>33.130000000000003</v>
      </c>
      <c r="J154" s="1">
        <v>0</v>
      </c>
      <c r="K154" s="1">
        <f t="shared" si="2"/>
        <v>88.41</v>
      </c>
      <c r="L154" s="1" t="str">
        <f>_xlfn.XLOOKUP(A154,satellite_programs!A:A,satellite_programs!N:N)</f>
        <v>Retired</v>
      </c>
    </row>
    <row r="155" spans="1:12" x14ac:dyDescent="0.5">
      <c r="A155" s="1" t="s">
        <v>86</v>
      </c>
      <c r="B155" s="1" t="s">
        <v>56</v>
      </c>
      <c r="C155" s="1" t="s">
        <v>85</v>
      </c>
      <c r="D155" s="1">
        <v>2022</v>
      </c>
      <c r="E155" s="1" t="s">
        <v>28</v>
      </c>
      <c r="F155" s="1">
        <v>0</v>
      </c>
      <c r="G155" s="1">
        <v>0</v>
      </c>
      <c r="H155" s="1">
        <v>55.28</v>
      </c>
      <c r="I155" s="1">
        <v>33.93</v>
      </c>
      <c r="J155" s="1">
        <v>0</v>
      </c>
      <c r="K155" s="1">
        <f t="shared" si="2"/>
        <v>89.210000000000008</v>
      </c>
      <c r="L155" s="1" t="str">
        <f>_xlfn.XLOOKUP(A155,satellite_programs!A:A,satellite_programs!N:N)</f>
        <v>Retired</v>
      </c>
    </row>
    <row r="156" spans="1:12" x14ac:dyDescent="0.5">
      <c r="A156" s="1" t="s">
        <v>86</v>
      </c>
      <c r="B156" s="1" t="s">
        <v>56</v>
      </c>
      <c r="C156" s="1" t="s">
        <v>85</v>
      </c>
      <c r="D156" s="1">
        <v>2024</v>
      </c>
      <c r="E156" s="1" t="s">
        <v>103</v>
      </c>
      <c r="F156" s="1">
        <v>0</v>
      </c>
      <c r="G156" s="1">
        <v>0</v>
      </c>
      <c r="H156" s="1">
        <v>0</v>
      </c>
      <c r="I156" s="1">
        <v>0</v>
      </c>
      <c r="J156" s="1">
        <v>6.44</v>
      </c>
      <c r="K156" s="1">
        <f t="shared" si="2"/>
        <v>6.44</v>
      </c>
      <c r="L156" s="1" t="str">
        <f>_xlfn.XLOOKUP(A156,satellite_programs!A:A,satellite_programs!N:N)</f>
        <v>Retired</v>
      </c>
    </row>
    <row r="157" spans="1:12" x14ac:dyDescent="0.5">
      <c r="A157" s="1" t="s">
        <v>87</v>
      </c>
      <c r="B157" s="1" t="s">
        <v>56</v>
      </c>
      <c r="C157" s="1" t="s">
        <v>85</v>
      </c>
      <c r="D157" s="1">
        <v>2012</v>
      </c>
      <c r="E157" s="1" t="s">
        <v>104</v>
      </c>
      <c r="F157" s="1">
        <v>7.82</v>
      </c>
      <c r="G157" s="1">
        <v>0</v>
      </c>
      <c r="H157" s="1">
        <v>0</v>
      </c>
      <c r="I157" s="1">
        <v>0</v>
      </c>
      <c r="J157" s="1">
        <v>0</v>
      </c>
      <c r="K157" s="1">
        <f t="shared" si="2"/>
        <v>7.82</v>
      </c>
      <c r="L157" s="1" t="str">
        <f>_xlfn.XLOOKUP(A157,satellite_programs!A:A,satellite_programs!N:N)</f>
        <v>Operations</v>
      </c>
    </row>
    <row r="158" spans="1:12" x14ac:dyDescent="0.5">
      <c r="A158" s="1" t="s">
        <v>87</v>
      </c>
      <c r="B158" s="1" t="s">
        <v>56</v>
      </c>
      <c r="C158" s="1" t="s">
        <v>85</v>
      </c>
      <c r="D158" s="1">
        <v>2013</v>
      </c>
      <c r="E158" s="1" t="s">
        <v>104</v>
      </c>
      <c r="F158" s="1">
        <v>15.64</v>
      </c>
      <c r="G158" s="1">
        <v>0</v>
      </c>
      <c r="H158" s="1">
        <v>0</v>
      </c>
      <c r="I158" s="1">
        <v>0</v>
      </c>
      <c r="J158" s="1">
        <v>0</v>
      </c>
      <c r="K158" s="1">
        <f t="shared" si="2"/>
        <v>15.64</v>
      </c>
      <c r="L158" s="1" t="str">
        <f>_xlfn.XLOOKUP(A158,satellite_programs!A:A,satellite_programs!N:N)</f>
        <v>Operations</v>
      </c>
    </row>
    <row r="159" spans="1:12" x14ac:dyDescent="0.5">
      <c r="A159" s="1" t="s">
        <v>87</v>
      </c>
      <c r="B159" s="1" t="s">
        <v>56</v>
      </c>
      <c r="C159" s="1" t="s">
        <v>85</v>
      </c>
      <c r="D159" s="1">
        <v>2014</v>
      </c>
      <c r="E159" s="1" t="s">
        <v>104</v>
      </c>
      <c r="F159" s="1">
        <v>28.16</v>
      </c>
      <c r="G159" s="1">
        <v>0</v>
      </c>
      <c r="H159" s="1">
        <v>0</v>
      </c>
      <c r="I159" s="1">
        <v>0</v>
      </c>
      <c r="J159" s="1">
        <v>0</v>
      </c>
      <c r="K159" s="1">
        <f t="shared" si="2"/>
        <v>28.16</v>
      </c>
      <c r="L159" s="1" t="str">
        <f>_xlfn.XLOOKUP(A159,satellite_programs!A:A,satellite_programs!N:N)</f>
        <v>Operations</v>
      </c>
    </row>
    <row r="160" spans="1:12" x14ac:dyDescent="0.5">
      <c r="A160" s="1" t="s">
        <v>87</v>
      </c>
      <c r="B160" s="1" t="s">
        <v>56</v>
      </c>
      <c r="C160" s="1" t="s">
        <v>85</v>
      </c>
      <c r="D160" s="1">
        <v>2015</v>
      </c>
      <c r="E160" s="1" t="s">
        <v>104</v>
      </c>
      <c r="F160" s="1">
        <v>34.409999999999997</v>
      </c>
      <c r="G160" s="1">
        <v>0</v>
      </c>
      <c r="H160" s="1">
        <v>0</v>
      </c>
      <c r="I160" s="1">
        <v>0</v>
      </c>
      <c r="J160" s="1">
        <v>0</v>
      </c>
      <c r="K160" s="1">
        <f t="shared" si="2"/>
        <v>34.409999999999997</v>
      </c>
      <c r="L160" s="1" t="str">
        <f>_xlfn.XLOOKUP(A160,satellite_programs!A:A,satellite_programs!N:N)</f>
        <v>Operations</v>
      </c>
    </row>
    <row r="161" spans="1:12" x14ac:dyDescent="0.5">
      <c r="A161" s="1" t="s">
        <v>87</v>
      </c>
      <c r="B161" s="1" t="s">
        <v>56</v>
      </c>
      <c r="C161" s="1" t="s">
        <v>85</v>
      </c>
      <c r="D161" s="1">
        <v>2016</v>
      </c>
      <c r="E161" s="1" t="s">
        <v>104</v>
      </c>
      <c r="F161" s="1">
        <v>31.28</v>
      </c>
      <c r="G161" s="1">
        <v>30.28</v>
      </c>
      <c r="H161" s="1">
        <v>0</v>
      </c>
      <c r="I161" s="1">
        <v>0</v>
      </c>
      <c r="J161" s="1">
        <v>0</v>
      </c>
      <c r="K161" s="1">
        <f t="shared" si="2"/>
        <v>61.56</v>
      </c>
      <c r="L161" s="1" t="str">
        <f>_xlfn.XLOOKUP(A161,satellite_programs!A:A,satellite_programs!N:N)</f>
        <v>Operations</v>
      </c>
    </row>
    <row r="162" spans="1:12" x14ac:dyDescent="0.5">
      <c r="A162" s="1" t="s">
        <v>87</v>
      </c>
      <c r="B162" s="1" t="s">
        <v>56</v>
      </c>
      <c r="C162" s="1" t="s">
        <v>85</v>
      </c>
      <c r="D162" s="1">
        <v>2017</v>
      </c>
      <c r="E162" s="1" t="s">
        <v>104</v>
      </c>
      <c r="F162" s="1">
        <v>20.34</v>
      </c>
      <c r="G162" s="1">
        <v>24.78</v>
      </c>
      <c r="H162" s="1">
        <v>0</v>
      </c>
      <c r="I162" s="1">
        <v>0</v>
      </c>
      <c r="J162" s="1">
        <v>0</v>
      </c>
      <c r="K162" s="1">
        <f t="shared" si="2"/>
        <v>45.120000000000005</v>
      </c>
      <c r="L162" s="1" t="str">
        <f>_xlfn.XLOOKUP(A162,satellite_programs!A:A,satellite_programs!N:N)</f>
        <v>Operations</v>
      </c>
    </row>
    <row r="163" spans="1:12" x14ac:dyDescent="0.5">
      <c r="A163" s="1" t="s">
        <v>87</v>
      </c>
      <c r="B163" s="1" t="s">
        <v>56</v>
      </c>
      <c r="C163" s="1" t="s">
        <v>85</v>
      </c>
      <c r="D163" s="1">
        <v>2018</v>
      </c>
      <c r="E163" s="1" t="s">
        <v>28</v>
      </c>
      <c r="F163" s="1">
        <v>0</v>
      </c>
      <c r="G163" s="1">
        <v>0</v>
      </c>
      <c r="H163" s="1">
        <v>57.76</v>
      </c>
      <c r="I163" s="1">
        <v>27.68</v>
      </c>
      <c r="J163" s="1">
        <v>0</v>
      </c>
      <c r="K163" s="1">
        <f t="shared" si="2"/>
        <v>85.44</v>
      </c>
      <c r="L163" s="1" t="str">
        <f>_xlfn.XLOOKUP(A163,satellite_programs!A:A,satellite_programs!N:N)</f>
        <v>Operations</v>
      </c>
    </row>
    <row r="164" spans="1:12" x14ac:dyDescent="0.5">
      <c r="A164" s="1" t="s">
        <v>87</v>
      </c>
      <c r="B164" s="1" t="s">
        <v>56</v>
      </c>
      <c r="C164" s="1" t="s">
        <v>85</v>
      </c>
      <c r="D164" s="1">
        <v>2019</v>
      </c>
      <c r="E164" s="1" t="s">
        <v>28</v>
      </c>
      <c r="F164" s="1">
        <v>0</v>
      </c>
      <c r="G164" s="1">
        <v>0</v>
      </c>
      <c r="H164" s="1">
        <v>57.76</v>
      </c>
      <c r="I164" s="1">
        <v>28.51</v>
      </c>
      <c r="J164" s="1">
        <v>0</v>
      </c>
      <c r="K164" s="1">
        <f t="shared" si="2"/>
        <v>86.27</v>
      </c>
      <c r="L164" s="1" t="str">
        <f>_xlfn.XLOOKUP(A164,satellite_programs!A:A,satellite_programs!N:N)</f>
        <v>Operations</v>
      </c>
    </row>
    <row r="165" spans="1:12" x14ac:dyDescent="0.5">
      <c r="A165" s="1" t="s">
        <v>87</v>
      </c>
      <c r="B165" s="1" t="s">
        <v>56</v>
      </c>
      <c r="C165" s="1" t="s">
        <v>85</v>
      </c>
      <c r="D165" s="1">
        <v>2020</v>
      </c>
      <c r="E165" s="1" t="s">
        <v>28</v>
      </c>
      <c r="F165" s="1">
        <v>0</v>
      </c>
      <c r="G165" s="1">
        <v>0</v>
      </c>
      <c r="H165" s="1">
        <v>57.76</v>
      </c>
      <c r="I165" s="1">
        <v>29.34</v>
      </c>
      <c r="J165" s="1">
        <v>0</v>
      </c>
      <c r="K165" s="1">
        <f t="shared" si="2"/>
        <v>87.1</v>
      </c>
      <c r="L165" s="1" t="str">
        <f>_xlfn.XLOOKUP(A165,satellite_programs!A:A,satellite_programs!N:N)</f>
        <v>Operations</v>
      </c>
    </row>
    <row r="166" spans="1:12" x14ac:dyDescent="0.5">
      <c r="A166" s="1" t="s">
        <v>87</v>
      </c>
      <c r="B166" s="1" t="s">
        <v>56</v>
      </c>
      <c r="C166" s="1" t="s">
        <v>85</v>
      </c>
      <c r="D166" s="1">
        <v>2021</v>
      </c>
      <c r="E166" s="1" t="s">
        <v>28</v>
      </c>
      <c r="F166" s="1">
        <v>0</v>
      </c>
      <c r="G166" s="1">
        <v>0</v>
      </c>
      <c r="H166" s="1">
        <v>57.76</v>
      </c>
      <c r="I166" s="1">
        <v>30.17</v>
      </c>
      <c r="J166" s="1">
        <v>0</v>
      </c>
      <c r="K166" s="1">
        <f t="shared" si="2"/>
        <v>87.93</v>
      </c>
      <c r="L166" s="1" t="str">
        <f>_xlfn.XLOOKUP(A166,satellite_programs!A:A,satellite_programs!N:N)</f>
        <v>Operations</v>
      </c>
    </row>
    <row r="167" spans="1:12" x14ac:dyDescent="0.5">
      <c r="A167" s="1" t="s">
        <v>87</v>
      </c>
      <c r="B167" s="1" t="s">
        <v>56</v>
      </c>
      <c r="C167" s="1" t="s">
        <v>85</v>
      </c>
      <c r="D167" s="1">
        <v>2022</v>
      </c>
      <c r="E167" s="1" t="s">
        <v>28</v>
      </c>
      <c r="F167" s="1">
        <v>0</v>
      </c>
      <c r="G167" s="1">
        <v>0</v>
      </c>
      <c r="H167" s="1">
        <v>57.76</v>
      </c>
      <c r="I167" s="1">
        <v>31</v>
      </c>
      <c r="J167" s="1">
        <v>0</v>
      </c>
      <c r="K167" s="1">
        <f t="shared" si="2"/>
        <v>88.759999999999991</v>
      </c>
      <c r="L167" s="1" t="str">
        <f>_xlfn.XLOOKUP(A167,satellite_programs!A:A,satellite_programs!N:N)</f>
        <v>Operations</v>
      </c>
    </row>
    <row r="168" spans="1:12" x14ac:dyDescent="0.5">
      <c r="A168" s="1" t="s">
        <v>87</v>
      </c>
      <c r="B168" s="1" t="s">
        <v>56</v>
      </c>
      <c r="C168" s="1" t="s">
        <v>85</v>
      </c>
      <c r="D168" s="1">
        <v>2023</v>
      </c>
      <c r="E168" s="1" t="s">
        <v>28</v>
      </c>
      <c r="F168" s="1">
        <v>0</v>
      </c>
      <c r="G168" s="1">
        <v>0</v>
      </c>
      <c r="H168" s="1">
        <v>57.76</v>
      </c>
      <c r="I168" s="1">
        <v>31.83</v>
      </c>
      <c r="J168" s="1">
        <v>0</v>
      </c>
      <c r="K168" s="1">
        <f t="shared" si="2"/>
        <v>89.59</v>
      </c>
      <c r="L168" s="1" t="str">
        <f>_xlfn.XLOOKUP(A168,satellite_programs!A:A,satellite_programs!N:N)</f>
        <v>Operations</v>
      </c>
    </row>
    <row r="169" spans="1:12" x14ac:dyDescent="0.5">
      <c r="A169" s="1" t="s">
        <v>87</v>
      </c>
      <c r="B169" s="1" t="s">
        <v>56</v>
      </c>
      <c r="C169" s="1" t="s">
        <v>85</v>
      </c>
      <c r="D169" s="1">
        <v>2024</v>
      </c>
      <c r="E169" s="1" t="s">
        <v>28</v>
      </c>
      <c r="F169" s="1">
        <v>0</v>
      </c>
      <c r="G169" s="1">
        <v>0</v>
      </c>
      <c r="H169" s="1">
        <v>57.76</v>
      </c>
      <c r="I169" s="1">
        <v>32.659999999999997</v>
      </c>
      <c r="J169" s="1">
        <v>0</v>
      </c>
      <c r="K169" s="1">
        <f t="shared" si="2"/>
        <v>90.419999999999987</v>
      </c>
      <c r="L169" s="1" t="str">
        <f>_xlfn.XLOOKUP(A169,satellite_programs!A:A,satellite_programs!N:N)</f>
        <v>Operations</v>
      </c>
    </row>
    <row r="170" spans="1:12" x14ac:dyDescent="0.5">
      <c r="A170" s="1" t="s">
        <v>87</v>
      </c>
      <c r="B170" s="1" t="s">
        <v>56</v>
      </c>
      <c r="C170" s="1" t="s">
        <v>85</v>
      </c>
      <c r="D170" s="1">
        <v>2025</v>
      </c>
      <c r="E170" s="1" t="s">
        <v>28</v>
      </c>
      <c r="F170" s="1">
        <v>0</v>
      </c>
      <c r="G170" s="1">
        <v>0</v>
      </c>
      <c r="H170" s="1">
        <v>57.76</v>
      </c>
      <c r="I170" s="1">
        <v>33.49</v>
      </c>
      <c r="J170" s="1">
        <v>0</v>
      </c>
      <c r="K170" s="1">
        <f t="shared" si="2"/>
        <v>91.25</v>
      </c>
      <c r="L170" s="1" t="str">
        <f>_xlfn.XLOOKUP(A170,satellite_programs!A:A,satellite_programs!N:N)</f>
        <v>Operations</v>
      </c>
    </row>
    <row r="171" spans="1:12" x14ac:dyDescent="0.5">
      <c r="A171" s="1" t="s">
        <v>87</v>
      </c>
      <c r="B171" s="1" t="s">
        <v>56</v>
      </c>
      <c r="C171" s="1" t="s">
        <v>85</v>
      </c>
      <c r="D171" s="1">
        <v>2026</v>
      </c>
      <c r="E171" s="1" t="s">
        <v>28</v>
      </c>
      <c r="F171" s="1">
        <v>0</v>
      </c>
      <c r="G171" s="1">
        <v>0</v>
      </c>
      <c r="H171" s="1">
        <v>57.76</v>
      </c>
      <c r="I171" s="1">
        <v>34.32</v>
      </c>
      <c r="J171" s="1">
        <v>0</v>
      </c>
      <c r="K171" s="1">
        <f t="shared" si="2"/>
        <v>92.08</v>
      </c>
      <c r="L171" s="1" t="str">
        <f>_xlfn.XLOOKUP(A171,satellite_programs!A:A,satellite_programs!N:N)</f>
        <v>Operations</v>
      </c>
    </row>
    <row r="172" spans="1:12" x14ac:dyDescent="0.5">
      <c r="A172" s="1" t="s">
        <v>87</v>
      </c>
      <c r="B172" s="1" t="s">
        <v>56</v>
      </c>
      <c r="C172" s="1" t="s">
        <v>85</v>
      </c>
      <c r="D172" s="1">
        <v>2027</v>
      </c>
      <c r="E172" s="1" t="s">
        <v>28</v>
      </c>
      <c r="F172" s="1">
        <v>0</v>
      </c>
      <c r="G172" s="1">
        <v>0</v>
      </c>
      <c r="H172" s="1">
        <v>57.76</v>
      </c>
      <c r="I172" s="1">
        <v>35.15</v>
      </c>
      <c r="J172" s="1">
        <v>0</v>
      </c>
      <c r="K172" s="1">
        <f t="shared" si="2"/>
        <v>92.91</v>
      </c>
      <c r="L172" s="1" t="str">
        <f>_xlfn.XLOOKUP(A172,satellite_programs!A:A,satellite_programs!N:N)</f>
        <v>Operations</v>
      </c>
    </row>
    <row r="173" spans="1:12" x14ac:dyDescent="0.5">
      <c r="A173" s="1" t="s">
        <v>87</v>
      </c>
      <c r="B173" s="1" t="s">
        <v>56</v>
      </c>
      <c r="C173" s="1" t="s">
        <v>85</v>
      </c>
      <c r="D173" s="1">
        <v>2028</v>
      </c>
      <c r="E173" s="1" t="s">
        <v>28</v>
      </c>
      <c r="F173" s="1">
        <v>0</v>
      </c>
      <c r="G173" s="1">
        <v>0</v>
      </c>
      <c r="H173" s="1">
        <v>57.76</v>
      </c>
      <c r="I173" s="1">
        <v>35.979999999999997</v>
      </c>
      <c r="J173" s="1">
        <v>0</v>
      </c>
      <c r="K173" s="1">
        <f t="shared" si="2"/>
        <v>93.74</v>
      </c>
      <c r="L173" s="1" t="str">
        <f>_xlfn.XLOOKUP(A173,satellite_programs!A:A,satellite_programs!N:N)</f>
        <v>Operations</v>
      </c>
    </row>
    <row r="174" spans="1:12" x14ac:dyDescent="0.5">
      <c r="A174" s="1" t="s">
        <v>87</v>
      </c>
      <c r="B174" s="1" t="s">
        <v>56</v>
      </c>
      <c r="C174" s="1" t="s">
        <v>85</v>
      </c>
      <c r="D174" s="1">
        <v>2029</v>
      </c>
      <c r="E174" s="1" t="s">
        <v>28</v>
      </c>
      <c r="F174" s="1">
        <v>0</v>
      </c>
      <c r="G174" s="1">
        <v>0</v>
      </c>
      <c r="H174" s="1">
        <v>57.76</v>
      </c>
      <c r="I174" s="1">
        <v>36.81</v>
      </c>
      <c r="J174" s="1">
        <v>0</v>
      </c>
      <c r="K174" s="1">
        <f t="shared" si="2"/>
        <v>94.57</v>
      </c>
      <c r="L174" s="1" t="str">
        <f>_xlfn.XLOOKUP(A174,satellite_programs!A:A,satellite_programs!N:N)</f>
        <v>Operations</v>
      </c>
    </row>
    <row r="175" spans="1:12" x14ac:dyDescent="0.5">
      <c r="A175" s="1" t="s">
        <v>87</v>
      </c>
      <c r="B175" s="1" t="s">
        <v>56</v>
      </c>
      <c r="C175" s="1" t="s">
        <v>85</v>
      </c>
      <c r="D175" s="1">
        <v>2031</v>
      </c>
      <c r="E175" s="1" t="s">
        <v>103</v>
      </c>
      <c r="F175" s="1">
        <v>0</v>
      </c>
      <c r="G175" s="1">
        <v>0</v>
      </c>
      <c r="H175" s="1">
        <v>0</v>
      </c>
      <c r="I175" s="1">
        <v>0</v>
      </c>
      <c r="J175" s="1">
        <v>6.78</v>
      </c>
      <c r="K175" s="1">
        <f t="shared" si="2"/>
        <v>6.78</v>
      </c>
      <c r="L175" s="1" t="str">
        <f>_xlfn.XLOOKUP(A175,satellite_programs!A:A,satellite_programs!N:N)</f>
        <v>Operations</v>
      </c>
    </row>
    <row r="176" spans="1:12" x14ac:dyDescent="0.5">
      <c r="A176" s="1" t="s">
        <v>31</v>
      </c>
      <c r="B176" s="1" t="s">
        <v>32</v>
      </c>
      <c r="C176" s="1" t="s">
        <v>33</v>
      </c>
      <c r="D176" s="1">
        <v>1997</v>
      </c>
      <c r="E176" s="1" t="s">
        <v>104</v>
      </c>
      <c r="F176" s="1">
        <v>5.44</v>
      </c>
      <c r="G176" s="1">
        <v>0</v>
      </c>
      <c r="H176" s="1">
        <v>0</v>
      </c>
      <c r="I176" s="1">
        <v>0</v>
      </c>
      <c r="J176" s="1">
        <v>0</v>
      </c>
      <c r="K176" s="1">
        <f t="shared" si="2"/>
        <v>5.44</v>
      </c>
      <c r="L176" s="1" t="str">
        <f>_xlfn.XLOOKUP(A176,satellite_programs!A:A,satellite_programs!N:N)</f>
        <v>Retired</v>
      </c>
    </row>
    <row r="177" spans="1:12" x14ac:dyDescent="0.5">
      <c r="A177" s="1" t="s">
        <v>31</v>
      </c>
      <c r="B177" s="1" t="s">
        <v>32</v>
      </c>
      <c r="C177" s="1" t="s">
        <v>33</v>
      </c>
      <c r="D177" s="1">
        <v>1998</v>
      </c>
      <c r="E177" s="1" t="s">
        <v>104</v>
      </c>
      <c r="F177" s="1">
        <v>10.89</v>
      </c>
      <c r="G177" s="1">
        <v>0</v>
      </c>
      <c r="H177" s="1">
        <v>0</v>
      </c>
      <c r="I177" s="1">
        <v>0</v>
      </c>
      <c r="J177" s="1">
        <v>0</v>
      </c>
      <c r="K177" s="1">
        <f t="shared" si="2"/>
        <v>10.89</v>
      </c>
      <c r="L177" s="1" t="str">
        <f>_xlfn.XLOOKUP(A177,satellite_programs!A:A,satellite_programs!N:N)</f>
        <v>Retired</v>
      </c>
    </row>
    <row r="178" spans="1:12" x14ac:dyDescent="0.5">
      <c r="A178" s="1" t="s">
        <v>31</v>
      </c>
      <c r="B178" s="1" t="s">
        <v>32</v>
      </c>
      <c r="C178" s="1" t="s">
        <v>33</v>
      </c>
      <c r="D178" s="1">
        <v>1999</v>
      </c>
      <c r="E178" s="1" t="s">
        <v>104</v>
      </c>
      <c r="F178" s="1">
        <v>19.600000000000001</v>
      </c>
      <c r="G178" s="1">
        <v>0</v>
      </c>
      <c r="H178" s="1">
        <v>0</v>
      </c>
      <c r="I178" s="1">
        <v>0</v>
      </c>
      <c r="J178" s="1">
        <v>0</v>
      </c>
      <c r="K178" s="1">
        <f t="shared" si="2"/>
        <v>19.600000000000001</v>
      </c>
      <c r="L178" s="1" t="str">
        <f>_xlfn.XLOOKUP(A178,satellite_programs!A:A,satellite_programs!N:N)</f>
        <v>Retired</v>
      </c>
    </row>
    <row r="179" spans="1:12" x14ac:dyDescent="0.5">
      <c r="A179" s="1" t="s">
        <v>31</v>
      </c>
      <c r="B179" s="1" t="s">
        <v>32</v>
      </c>
      <c r="C179" s="1" t="s">
        <v>33</v>
      </c>
      <c r="D179" s="1">
        <v>2000</v>
      </c>
      <c r="E179" s="1" t="s">
        <v>104</v>
      </c>
      <c r="F179" s="1">
        <v>23.95</v>
      </c>
      <c r="G179" s="1">
        <v>0</v>
      </c>
      <c r="H179" s="1">
        <v>0</v>
      </c>
      <c r="I179" s="1">
        <v>0</v>
      </c>
      <c r="J179" s="1">
        <v>0</v>
      </c>
      <c r="K179" s="1">
        <f t="shared" si="2"/>
        <v>23.95</v>
      </c>
      <c r="L179" s="1" t="str">
        <f>_xlfn.XLOOKUP(A179,satellite_programs!A:A,satellite_programs!N:N)</f>
        <v>Retired</v>
      </c>
    </row>
    <row r="180" spans="1:12" x14ac:dyDescent="0.5">
      <c r="A180" s="1" t="s">
        <v>31</v>
      </c>
      <c r="B180" s="1" t="s">
        <v>32</v>
      </c>
      <c r="C180" s="1" t="s">
        <v>33</v>
      </c>
      <c r="D180" s="1">
        <v>2001</v>
      </c>
      <c r="E180" s="1" t="s">
        <v>104</v>
      </c>
      <c r="F180" s="1">
        <v>21.78</v>
      </c>
      <c r="G180" s="1">
        <v>21.08</v>
      </c>
      <c r="H180" s="1">
        <v>0</v>
      </c>
      <c r="I180" s="1">
        <v>0</v>
      </c>
      <c r="J180" s="1">
        <v>0</v>
      </c>
      <c r="K180" s="1">
        <f t="shared" si="2"/>
        <v>42.86</v>
      </c>
      <c r="L180" s="1" t="str">
        <f>_xlfn.XLOOKUP(A180,satellite_programs!A:A,satellite_programs!N:N)</f>
        <v>Retired</v>
      </c>
    </row>
    <row r="181" spans="1:12" x14ac:dyDescent="0.5">
      <c r="A181" s="1" t="s">
        <v>31</v>
      </c>
      <c r="B181" s="1" t="s">
        <v>32</v>
      </c>
      <c r="C181" s="1" t="s">
        <v>33</v>
      </c>
      <c r="D181" s="1">
        <v>2002</v>
      </c>
      <c r="E181" s="1" t="s">
        <v>104</v>
      </c>
      <c r="F181" s="1">
        <v>14.16</v>
      </c>
      <c r="G181" s="1">
        <v>17.25</v>
      </c>
      <c r="H181" s="1">
        <v>0</v>
      </c>
      <c r="I181" s="1">
        <v>0</v>
      </c>
      <c r="J181" s="1">
        <v>0</v>
      </c>
      <c r="K181" s="1">
        <f t="shared" si="2"/>
        <v>31.41</v>
      </c>
      <c r="L181" s="1" t="str">
        <f>_xlfn.XLOOKUP(A181,satellite_programs!A:A,satellite_programs!N:N)</f>
        <v>Retired</v>
      </c>
    </row>
    <row r="182" spans="1:12" x14ac:dyDescent="0.5">
      <c r="A182" s="1" t="s">
        <v>31</v>
      </c>
      <c r="B182" s="1" t="s">
        <v>32</v>
      </c>
      <c r="C182" s="1" t="s">
        <v>33</v>
      </c>
      <c r="D182" s="1">
        <v>2003</v>
      </c>
      <c r="E182" s="1" t="s">
        <v>28</v>
      </c>
      <c r="F182" s="1">
        <v>0</v>
      </c>
      <c r="G182" s="1">
        <v>0</v>
      </c>
      <c r="H182" s="1">
        <v>29.72</v>
      </c>
      <c r="I182" s="1">
        <v>18.72</v>
      </c>
      <c r="J182" s="1">
        <v>0</v>
      </c>
      <c r="K182" s="1">
        <f t="shared" si="2"/>
        <v>48.44</v>
      </c>
      <c r="L182" s="1" t="str">
        <f>_xlfn.XLOOKUP(A182,satellite_programs!A:A,satellite_programs!N:N)</f>
        <v>Retired</v>
      </c>
    </row>
    <row r="183" spans="1:12" x14ac:dyDescent="0.5">
      <c r="A183" s="1" t="s">
        <v>31</v>
      </c>
      <c r="B183" s="1" t="s">
        <v>32</v>
      </c>
      <c r="C183" s="1" t="s">
        <v>33</v>
      </c>
      <c r="D183" s="1">
        <v>2004</v>
      </c>
      <c r="E183" s="1" t="s">
        <v>28</v>
      </c>
      <c r="F183" s="1">
        <v>0</v>
      </c>
      <c r="G183" s="1">
        <v>0</v>
      </c>
      <c r="H183" s="1">
        <v>29.72</v>
      </c>
      <c r="I183" s="1">
        <v>19.28</v>
      </c>
      <c r="J183" s="1">
        <v>0</v>
      </c>
      <c r="K183" s="1">
        <f t="shared" si="2"/>
        <v>49</v>
      </c>
      <c r="L183" s="1" t="str">
        <f>_xlfn.XLOOKUP(A183,satellite_programs!A:A,satellite_programs!N:N)</f>
        <v>Retired</v>
      </c>
    </row>
    <row r="184" spans="1:12" x14ac:dyDescent="0.5">
      <c r="A184" s="1" t="s">
        <v>31</v>
      </c>
      <c r="B184" s="1" t="s">
        <v>32</v>
      </c>
      <c r="C184" s="1" t="s">
        <v>33</v>
      </c>
      <c r="D184" s="1">
        <v>2005</v>
      </c>
      <c r="E184" s="1" t="s">
        <v>28</v>
      </c>
      <c r="F184" s="1">
        <v>0</v>
      </c>
      <c r="G184" s="1">
        <v>0</v>
      </c>
      <c r="H184" s="1">
        <v>29.72</v>
      </c>
      <c r="I184" s="1">
        <v>19.84</v>
      </c>
      <c r="J184" s="1">
        <v>0</v>
      </c>
      <c r="K184" s="1">
        <f t="shared" si="2"/>
        <v>49.56</v>
      </c>
      <c r="L184" s="1" t="str">
        <f>_xlfn.XLOOKUP(A184,satellite_programs!A:A,satellite_programs!N:N)</f>
        <v>Retired</v>
      </c>
    </row>
    <row r="185" spans="1:12" x14ac:dyDescent="0.5">
      <c r="A185" s="1" t="s">
        <v>31</v>
      </c>
      <c r="B185" s="1" t="s">
        <v>32</v>
      </c>
      <c r="C185" s="1" t="s">
        <v>33</v>
      </c>
      <c r="D185" s="1">
        <v>2006</v>
      </c>
      <c r="E185" s="1" t="s">
        <v>28</v>
      </c>
      <c r="F185" s="1">
        <v>0</v>
      </c>
      <c r="G185" s="1">
        <v>0</v>
      </c>
      <c r="H185" s="1">
        <v>29.72</v>
      </c>
      <c r="I185" s="1">
        <v>20.399999999999999</v>
      </c>
      <c r="J185" s="1">
        <v>0</v>
      </c>
      <c r="K185" s="1">
        <f t="shared" si="2"/>
        <v>50.12</v>
      </c>
      <c r="L185" s="1" t="str">
        <f>_xlfn.XLOOKUP(A185,satellite_programs!A:A,satellite_programs!N:N)</f>
        <v>Retired</v>
      </c>
    </row>
    <row r="186" spans="1:12" x14ac:dyDescent="0.5">
      <c r="A186" s="1" t="s">
        <v>31</v>
      </c>
      <c r="B186" s="1" t="s">
        <v>32</v>
      </c>
      <c r="C186" s="1" t="s">
        <v>33</v>
      </c>
      <c r="D186" s="1">
        <v>2007</v>
      </c>
      <c r="E186" s="1" t="s">
        <v>28</v>
      </c>
      <c r="F186" s="1">
        <v>0</v>
      </c>
      <c r="G186" s="1">
        <v>0</v>
      </c>
      <c r="H186" s="1">
        <v>29.72</v>
      </c>
      <c r="I186" s="1">
        <v>20.97</v>
      </c>
      <c r="J186" s="1">
        <v>0</v>
      </c>
      <c r="K186" s="1">
        <f t="shared" si="2"/>
        <v>50.69</v>
      </c>
      <c r="L186" s="1" t="str">
        <f>_xlfn.XLOOKUP(A186,satellite_programs!A:A,satellite_programs!N:N)</f>
        <v>Retired</v>
      </c>
    </row>
    <row r="187" spans="1:12" x14ac:dyDescent="0.5">
      <c r="A187" s="1" t="s">
        <v>31</v>
      </c>
      <c r="B187" s="1" t="s">
        <v>32</v>
      </c>
      <c r="C187" s="1" t="s">
        <v>33</v>
      </c>
      <c r="D187" s="1">
        <v>2008</v>
      </c>
      <c r="E187" s="1" t="s">
        <v>28</v>
      </c>
      <c r="F187" s="1">
        <v>0</v>
      </c>
      <c r="G187" s="1">
        <v>0</v>
      </c>
      <c r="H187" s="1">
        <v>29.72</v>
      </c>
      <c r="I187" s="1">
        <v>21.53</v>
      </c>
      <c r="J187" s="1">
        <v>0</v>
      </c>
      <c r="K187" s="1">
        <f t="shared" si="2"/>
        <v>51.25</v>
      </c>
      <c r="L187" s="1" t="str">
        <f>_xlfn.XLOOKUP(A187,satellite_programs!A:A,satellite_programs!N:N)</f>
        <v>Retired</v>
      </c>
    </row>
    <row r="188" spans="1:12" x14ac:dyDescent="0.5">
      <c r="A188" s="1" t="s">
        <v>31</v>
      </c>
      <c r="B188" s="1" t="s">
        <v>32</v>
      </c>
      <c r="C188" s="1" t="s">
        <v>33</v>
      </c>
      <c r="D188" s="1">
        <v>2009</v>
      </c>
      <c r="E188" s="1" t="s">
        <v>28</v>
      </c>
      <c r="F188" s="1">
        <v>0</v>
      </c>
      <c r="G188" s="1">
        <v>0</v>
      </c>
      <c r="H188" s="1">
        <v>29.72</v>
      </c>
      <c r="I188" s="1">
        <v>22.09</v>
      </c>
      <c r="J188" s="1">
        <v>0</v>
      </c>
      <c r="K188" s="1">
        <f t="shared" si="2"/>
        <v>51.81</v>
      </c>
      <c r="L188" s="1" t="str">
        <f>_xlfn.XLOOKUP(A188,satellite_programs!A:A,satellite_programs!N:N)</f>
        <v>Retired</v>
      </c>
    </row>
    <row r="189" spans="1:12" x14ac:dyDescent="0.5">
      <c r="A189" s="1" t="s">
        <v>31</v>
      </c>
      <c r="B189" s="1" t="s">
        <v>32</v>
      </c>
      <c r="C189" s="1" t="s">
        <v>33</v>
      </c>
      <c r="D189" s="1">
        <v>2011</v>
      </c>
      <c r="E189" s="1" t="s">
        <v>103</v>
      </c>
      <c r="F189" s="1">
        <v>0</v>
      </c>
      <c r="G189" s="1">
        <v>0</v>
      </c>
      <c r="H189" s="1">
        <v>0</v>
      </c>
      <c r="I189" s="1">
        <v>0</v>
      </c>
      <c r="J189" s="1">
        <v>9.36</v>
      </c>
      <c r="K189" s="1">
        <f t="shared" si="2"/>
        <v>9.36</v>
      </c>
      <c r="L189" s="1" t="str">
        <f>_xlfn.XLOOKUP(A189,satellite_programs!A:A,satellite_programs!N:N)</f>
        <v>Retired</v>
      </c>
    </row>
    <row r="190" spans="1:12" x14ac:dyDescent="0.5">
      <c r="A190" s="1" t="s">
        <v>35</v>
      </c>
      <c r="B190" s="1" t="s">
        <v>32</v>
      </c>
      <c r="C190" s="1" t="s">
        <v>33</v>
      </c>
      <c r="D190" s="1">
        <v>1999</v>
      </c>
      <c r="E190" s="1" t="s">
        <v>104</v>
      </c>
      <c r="F190" s="1">
        <v>5.8</v>
      </c>
      <c r="G190" s="1">
        <v>0</v>
      </c>
      <c r="H190" s="1">
        <v>0</v>
      </c>
      <c r="I190" s="1">
        <v>0</v>
      </c>
      <c r="J190" s="1">
        <v>0</v>
      </c>
      <c r="K190" s="1">
        <f t="shared" si="2"/>
        <v>5.8</v>
      </c>
      <c r="L190" s="1" t="str">
        <f>_xlfn.XLOOKUP(A190,satellite_programs!A:A,satellite_programs!N:N)</f>
        <v>Retired</v>
      </c>
    </row>
    <row r="191" spans="1:12" x14ac:dyDescent="0.5">
      <c r="A191" s="1" t="s">
        <v>35</v>
      </c>
      <c r="B191" s="1" t="s">
        <v>32</v>
      </c>
      <c r="C191" s="1" t="s">
        <v>33</v>
      </c>
      <c r="D191" s="1">
        <v>2000</v>
      </c>
      <c r="E191" s="1" t="s">
        <v>104</v>
      </c>
      <c r="F191" s="1">
        <v>11.59</v>
      </c>
      <c r="G191" s="1">
        <v>0</v>
      </c>
      <c r="H191" s="1">
        <v>0</v>
      </c>
      <c r="I191" s="1">
        <v>0</v>
      </c>
      <c r="J191" s="1">
        <v>0</v>
      </c>
      <c r="K191" s="1">
        <f t="shared" si="2"/>
        <v>11.59</v>
      </c>
      <c r="L191" s="1" t="str">
        <f>_xlfn.XLOOKUP(A191,satellite_programs!A:A,satellite_programs!N:N)</f>
        <v>Retired</v>
      </c>
    </row>
    <row r="192" spans="1:12" x14ac:dyDescent="0.5">
      <c r="A192" s="1" t="s">
        <v>35</v>
      </c>
      <c r="B192" s="1" t="s">
        <v>32</v>
      </c>
      <c r="C192" s="1" t="s">
        <v>33</v>
      </c>
      <c r="D192" s="1">
        <v>2001</v>
      </c>
      <c r="E192" s="1" t="s">
        <v>104</v>
      </c>
      <c r="F192" s="1">
        <v>20.87</v>
      </c>
      <c r="G192" s="1">
        <v>0</v>
      </c>
      <c r="H192" s="1">
        <v>0</v>
      </c>
      <c r="I192" s="1">
        <v>0</v>
      </c>
      <c r="J192" s="1">
        <v>0</v>
      </c>
      <c r="K192" s="1">
        <f t="shared" si="2"/>
        <v>20.87</v>
      </c>
      <c r="L192" s="1" t="str">
        <f>_xlfn.XLOOKUP(A192,satellite_programs!A:A,satellite_programs!N:N)</f>
        <v>Retired</v>
      </c>
    </row>
    <row r="193" spans="1:12" x14ac:dyDescent="0.5">
      <c r="A193" s="1" t="s">
        <v>35</v>
      </c>
      <c r="B193" s="1" t="s">
        <v>32</v>
      </c>
      <c r="C193" s="1" t="s">
        <v>33</v>
      </c>
      <c r="D193" s="1">
        <v>2002</v>
      </c>
      <c r="E193" s="1" t="s">
        <v>104</v>
      </c>
      <c r="F193" s="1">
        <v>25.5</v>
      </c>
      <c r="G193" s="1">
        <v>0</v>
      </c>
      <c r="H193" s="1">
        <v>0</v>
      </c>
      <c r="I193" s="1">
        <v>0</v>
      </c>
      <c r="J193" s="1">
        <v>0</v>
      </c>
      <c r="K193" s="1">
        <f t="shared" si="2"/>
        <v>25.5</v>
      </c>
      <c r="L193" s="1" t="str">
        <f>_xlfn.XLOOKUP(A193,satellite_programs!A:A,satellite_programs!N:N)</f>
        <v>Retired</v>
      </c>
    </row>
    <row r="194" spans="1:12" x14ac:dyDescent="0.5">
      <c r="A194" s="1" t="s">
        <v>35</v>
      </c>
      <c r="B194" s="1" t="s">
        <v>32</v>
      </c>
      <c r="C194" s="1" t="s">
        <v>33</v>
      </c>
      <c r="D194" s="1">
        <v>2003</v>
      </c>
      <c r="E194" s="1" t="s">
        <v>104</v>
      </c>
      <c r="F194" s="1">
        <v>23.19</v>
      </c>
      <c r="G194" s="1">
        <v>22.45</v>
      </c>
      <c r="H194" s="1">
        <v>0</v>
      </c>
      <c r="I194" s="1">
        <v>0</v>
      </c>
      <c r="J194" s="1">
        <v>0</v>
      </c>
      <c r="K194" s="1">
        <f t="shared" ref="K194:K257" si="3">SUM(F194:J194)</f>
        <v>45.64</v>
      </c>
      <c r="L194" s="1" t="str">
        <f>_xlfn.XLOOKUP(A194,satellite_programs!A:A,satellite_programs!N:N)</f>
        <v>Retired</v>
      </c>
    </row>
    <row r="195" spans="1:12" x14ac:dyDescent="0.5">
      <c r="A195" s="1" t="s">
        <v>35</v>
      </c>
      <c r="B195" s="1" t="s">
        <v>32</v>
      </c>
      <c r="C195" s="1" t="s">
        <v>33</v>
      </c>
      <c r="D195" s="1">
        <v>2004</v>
      </c>
      <c r="E195" s="1" t="s">
        <v>104</v>
      </c>
      <c r="F195" s="1">
        <v>15.07</v>
      </c>
      <c r="G195" s="1">
        <v>18.36</v>
      </c>
      <c r="H195" s="1">
        <v>0</v>
      </c>
      <c r="I195" s="1">
        <v>0</v>
      </c>
      <c r="J195" s="1">
        <v>0</v>
      </c>
      <c r="K195" s="1">
        <f t="shared" si="3"/>
        <v>33.43</v>
      </c>
      <c r="L195" s="1" t="str">
        <f>_xlfn.XLOOKUP(A195,satellite_programs!A:A,satellite_programs!N:N)</f>
        <v>Retired</v>
      </c>
    </row>
    <row r="196" spans="1:12" x14ac:dyDescent="0.5">
      <c r="A196" s="1" t="s">
        <v>35</v>
      </c>
      <c r="B196" s="1" t="s">
        <v>32</v>
      </c>
      <c r="C196" s="1" t="s">
        <v>33</v>
      </c>
      <c r="D196" s="1">
        <v>2005</v>
      </c>
      <c r="E196" s="1" t="s">
        <v>28</v>
      </c>
      <c r="F196" s="1">
        <v>0</v>
      </c>
      <c r="G196" s="1">
        <v>0</v>
      </c>
      <c r="H196" s="1">
        <v>31.68</v>
      </c>
      <c r="I196" s="1">
        <v>19.079999999999998</v>
      </c>
      <c r="J196" s="1">
        <v>0</v>
      </c>
      <c r="K196" s="1">
        <f t="shared" si="3"/>
        <v>50.76</v>
      </c>
      <c r="L196" s="1" t="str">
        <f>_xlfn.XLOOKUP(A196,satellite_programs!A:A,satellite_programs!N:N)</f>
        <v>Retired</v>
      </c>
    </row>
    <row r="197" spans="1:12" x14ac:dyDescent="0.5">
      <c r="A197" s="1" t="s">
        <v>35</v>
      </c>
      <c r="B197" s="1" t="s">
        <v>32</v>
      </c>
      <c r="C197" s="1" t="s">
        <v>33</v>
      </c>
      <c r="D197" s="1">
        <v>2006</v>
      </c>
      <c r="E197" s="1" t="s">
        <v>28</v>
      </c>
      <c r="F197" s="1">
        <v>0</v>
      </c>
      <c r="G197" s="1">
        <v>0</v>
      </c>
      <c r="H197" s="1">
        <v>31.68</v>
      </c>
      <c r="I197" s="1">
        <v>19.649999999999999</v>
      </c>
      <c r="J197" s="1">
        <v>0</v>
      </c>
      <c r="K197" s="1">
        <f t="shared" si="3"/>
        <v>51.33</v>
      </c>
      <c r="L197" s="1" t="str">
        <f>_xlfn.XLOOKUP(A197,satellite_programs!A:A,satellite_programs!N:N)</f>
        <v>Retired</v>
      </c>
    </row>
    <row r="198" spans="1:12" x14ac:dyDescent="0.5">
      <c r="A198" s="1" t="s">
        <v>35</v>
      </c>
      <c r="B198" s="1" t="s">
        <v>32</v>
      </c>
      <c r="C198" s="1" t="s">
        <v>33</v>
      </c>
      <c r="D198" s="1">
        <v>2007</v>
      </c>
      <c r="E198" s="1" t="s">
        <v>28</v>
      </c>
      <c r="F198" s="1">
        <v>0</v>
      </c>
      <c r="G198" s="1">
        <v>0</v>
      </c>
      <c r="H198" s="1">
        <v>31.68</v>
      </c>
      <c r="I198" s="1">
        <v>20.22</v>
      </c>
      <c r="J198" s="1">
        <v>0</v>
      </c>
      <c r="K198" s="1">
        <f t="shared" si="3"/>
        <v>51.9</v>
      </c>
      <c r="L198" s="1" t="str">
        <f>_xlfn.XLOOKUP(A198,satellite_programs!A:A,satellite_programs!N:N)</f>
        <v>Retired</v>
      </c>
    </row>
    <row r="199" spans="1:12" x14ac:dyDescent="0.5">
      <c r="A199" s="1" t="s">
        <v>35</v>
      </c>
      <c r="B199" s="1" t="s">
        <v>32</v>
      </c>
      <c r="C199" s="1" t="s">
        <v>33</v>
      </c>
      <c r="D199" s="1">
        <v>2008</v>
      </c>
      <c r="E199" s="1" t="s">
        <v>28</v>
      </c>
      <c r="F199" s="1">
        <v>0</v>
      </c>
      <c r="G199" s="1">
        <v>0</v>
      </c>
      <c r="H199" s="1">
        <v>31.68</v>
      </c>
      <c r="I199" s="1">
        <v>20.8</v>
      </c>
      <c r="J199" s="1">
        <v>0</v>
      </c>
      <c r="K199" s="1">
        <f t="shared" si="3"/>
        <v>52.480000000000004</v>
      </c>
      <c r="L199" s="1" t="str">
        <f>_xlfn.XLOOKUP(A199,satellite_programs!A:A,satellite_programs!N:N)</f>
        <v>Retired</v>
      </c>
    </row>
    <row r="200" spans="1:12" x14ac:dyDescent="0.5">
      <c r="A200" s="1" t="s">
        <v>35</v>
      </c>
      <c r="B200" s="1" t="s">
        <v>32</v>
      </c>
      <c r="C200" s="1" t="s">
        <v>33</v>
      </c>
      <c r="D200" s="1">
        <v>2009</v>
      </c>
      <c r="E200" s="1" t="s">
        <v>28</v>
      </c>
      <c r="F200" s="1">
        <v>0</v>
      </c>
      <c r="G200" s="1">
        <v>0</v>
      </c>
      <c r="H200" s="1">
        <v>31.68</v>
      </c>
      <c r="I200" s="1">
        <v>21.37</v>
      </c>
      <c r="J200" s="1">
        <v>0</v>
      </c>
      <c r="K200" s="1">
        <f t="shared" si="3"/>
        <v>53.05</v>
      </c>
      <c r="L200" s="1" t="str">
        <f>_xlfn.XLOOKUP(A200,satellite_programs!A:A,satellite_programs!N:N)</f>
        <v>Retired</v>
      </c>
    </row>
    <row r="201" spans="1:12" x14ac:dyDescent="0.5">
      <c r="A201" s="1" t="s">
        <v>35</v>
      </c>
      <c r="B201" s="1" t="s">
        <v>32</v>
      </c>
      <c r="C201" s="1" t="s">
        <v>33</v>
      </c>
      <c r="D201" s="1">
        <v>2010</v>
      </c>
      <c r="E201" s="1" t="s">
        <v>28</v>
      </c>
      <c r="F201" s="1">
        <v>0</v>
      </c>
      <c r="G201" s="1">
        <v>0</v>
      </c>
      <c r="H201" s="1">
        <v>31.68</v>
      </c>
      <c r="I201" s="1">
        <v>21.94</v>
      </c>
      <c r="J201" s="1">
        <v>0</v>
      </c>
      <c r="K201" s="1">
        <f t="shared" si="3"/>
        <v>53.620000000000005</v>
      </c>
      <c r="L201" s="1" t="str">
        <f>_xlfn.XLOOKUP(A201,satellite_programs!A:A,satellite_programs!N:N)</f>
        <v>Retired</v>
      </c>
    </row>
    <row r="202" spans="1:12" x14ac:dyDescent="0.5">
      <c r="A202" s="1" t="s">
        <v>35</v>
      </c>
      <c r="B202" s="1" t="s">
        <v>32</v>
      </c>
      <c r="C202" s="1" t="s">
        <v>33</v>
      </c>
      <c r="D202" s="1">
        <v>2011</v>
      </c>
      <c r="E202" s="1" t="s">
        <v>28</v>
      </c>
      <c r="F202" s="1">
        <v>0</v>
      </c>
      <c r="G202" s="1">
        <v>0</v>
      </c>
      <c r="H202" s="1">
        <v>31.68</v>
      </c>
      <c r="I202" s="1">
        <v>22.51</v>
      </c>
      <c r="J202" s="1">
        <v>0</v>
      </c>
      <c r="K202" s="1">
        <f t="shared" si="3"/>
        <v>54.19</v>
      </c>
      <c r="L202" s="1" t="str">
        <f>_xlfn.XLOOKUP(A202,satellite_programs!A:A,satellite_programs!N:N)</f>
        <v>Retired</v>
      </c>
    </row>
    <row r="203" spans="1:12" x14ac:dyDescent="0.5">
      <c r="A203" s="1" t="s">
        <v>35</v>
      </c>
      <c r="B203" s="1" t="s">
        <v>32</v>
      </c>
      <c r="C203" s="1" t="s">
        <v>33</v>
      </c>
      <c r="D203" s="1">
        <v>2013</v>
      </c>
      <c r="E203" s="1" t="s">
        <v>103</v>
      </c>
      <c r="F203" s="1">
        <v>0</v>
      </c>
      <c r="G203" s="1">
        <v>0</v>
      </c>
      <c r="H203" s="1">
        <v>0</v>
      </c>
      <c r="I203" s="1">
        <v>0</v>
      </c>
      <c r="J203" s="1">
        <v>9.44</v>
      </c>
      <c r="K203" s="1">
        <f t="shared" si="3"/>
        <v>9.44</v>
      </c>
      <c r="L203" s="1" t="str">
        <f>_xlfn.XLOOKUP(A203,satellite_programs!A:A,satellite_programs!N:N)</f>
        <v>Retired</v>
      </c>
    </row>
    <row r="204" spans="1:12" x14ac:dyDescent="0.5">
      <c r="A204" s="1" t="s">
        <v>36</v>
      </c>
      <c r="B204" s="1" t="s">
        <v>32</v>
      </c>
      <c r="C204" s="1" t="s">
        <v>33</v>
      </c>
      <c r="D204" s="1">
        <v>2002</v>
      </c>
      <c r="E204" s="1" t="s">
        <v>104</v>
      </c>
      <c r="F204" s="1">
        <v>6.66</v>
      </c>
      <c r="G204" s="1">
        <v>0</v>
      </c>
      <c r="H204" s="1">
        <v>0</v>
      </c>
      <c r="I204" s="1">
        <v>0</v>
      </c>
      <c r="J204" s="1">
        <v>0</v>
      </c>
      <c r="K204" s="1">
        <f t="shared" si="3"/>
        <v>6.66</v>
      </c>
      <c r="L204" s="1" t="str">
        <f>_xlfn.XLOOKUP(A204,satellite_programs!A:A,satellite_programs!N:N)</f>
        <v>Retired</v>
      </c>
    </row>
    <row r="205" spans="1:12" x14ac:dyDescent="0.5">
      <c r="A205" s="1" t="s">
        <v>36</v>
      </c>
      <c r="B205" s="1" t="s">
        <v>32</v>
      </c>
      <c r="C205" s="1" t="s">
        <v>33</v>
      </c>
      <c r="D205" s="1">
        <v>2003</v>
      </c>
      <c r="E205" s="1" t="s">
        <v>104</v>
      </c>
      <c r="F205" s="1">
        <v>13.33</v>
      </c>
      <c r="G205" s="1">
        <v>0</v>
      </c>
      <c r="H205" s="1">
        <v>0</v>
      </c>
      <c r="I205" s="1">
        <v>0</v>
      </c>
      <c r="J205" s="1">
        <v>0</v>
      </c>
      <c r="K205" s="1">
        <f t="shared" si="3"/>
        <v>13.33</v>
      </c>
      <c r="L205" s="1" t="str">
        <f>_xlfn.XLOOKUP(A205,satellite_programs!A:A,satellite_programs!N:N)</f>
        <v>Retired</v>
      </c>
    </row>
    <row r="206" spans="1:12" x14ac:dyDescent="0.5">
      <c r="A206" s="1" t="s">
        <v>36</v>
      </c>
      <c r="B206" s="1" t="s">
        <v>32</v>
      </c>
      <c r="C206" s="1" t="s">
        <v>33</v>
      </c>
      <c r="D206" s="1">
        <v>2004</v>
      </c>
      <c r="E206" s="1" t="s">
        <v>104</v>
      </c>
      <c r="F206" s="1">
        <v>23.99</v>
      </c>
      <c r="G206" s="1">
        <v>0</v>
      </c>
      <c r="H206" s="1">
        <v>0</v>
      </c>
      <c r="I206" s="1">
        <v>0</v>
      </c>
      <c r="J206" s="1">
        <v>0</v>
      </c>
      <c r="K206" s="1">
        <f t="shared" si="3"/>
        <v>23.99</v>
      </c>
      <c r="L206" s="1" t="str">
        <f>_xlfn.XLOOKUP(A206,satellite_programs!A:A,satellite_programs!N:N)</f>
        <v>Retired</v>
      </c>
    </row>
    <row r="207" spans="1:12" x14ac:dyDescent="0.5">
      <c r="A207" s="1" t="s">
        <v>36</v>
      </c>
      <c r="B207" s="1" t="s">
        <v>32</v>
      </c>
      <c r="C207" s="1" t="s">
        <v>33</v>
      </c>
      <c r="D207" s="1">
        <v>2005</v>
      </c>
      <c r="E207" s="1" t="s">
        <v>104</v>
      </c>
      <c r="F207" s="1">
        <v>29.32</v>
      </c>
      <c r="G207" s="1">
        <v>0</v>
      </c>
      <c r="H207" s="1">
        <v>0</v>
      </c>
      <c r="I207" s="1">
        <v>0</v>
      </c>
      <c r="J207" s="1">
        <v>0</v>
      </c>
      <c r="K207" s="1">
        <f t="shared" si="3"/>
        <v>29.32</v>
      </c>
      <c r="L207" s="1" t="str">
        <f>_xlfn.XLOOKUP(A207,satellite_programs!A:A,satellite_programs!N:N)</f>
        <v>Retired</v>
      </c>
    </row>
    <row r="208" spans="1:12" x14ac:dyDescent="0.5">
      <c r="A208" s="1" t="s">
        <v>36</v>
      </c>
      <c r="B208" s="1" t="s">
        <v>32</v>
      </c>
      <c r="C208" s="1" t="s">
        <v>33</v>
      </c>
      <c r="D208" s="1">
        <v>2006</v>
      </c>
      <c r="E208" s="1" t="s">
        <v>104</v>
      </c>
      <c r="F208" s="1">
        <v>26.65</v>
      </c>
      <c r="G208" s="1">
        <v>25.8</v>
      </c>
      <c r="H208" s="1">
        <v>0</v>
      </c>
      <c r="I208" s="1">
        <v>0</v>
      </c>
      <c r="J208" s="1">
        <v>0</v>
      </c>
      <c r="K208" s="1">
        <f t="shared" si="3"/>
        <v>52.45</v>
      </c>
      <c r="L208" s="1" t="str">
        <f>_xlfn.XLOOKUP(A208,satellite_programs!A:A,satellite_programs!N:N)</f>
        <v>Retired</v>
      </c>
    </row>
    <row r="209" spans="1:12" x14ac:dyDescent="0.5">
      <c r="A209" s="1" t="s">
        <v>36</v>
      </c>
      <c r="B209" s="1" t="s">
        <v>32</v>
      </c>
      <c r="C209" s="1" t="s">
        <v>33</v>
      </c>
      <c r="D209" s="1">
        <v>2007</v>
      </c>
      <c r="E209" s="1" t="s">
        <v>104</v>
      </c>
      <c r="F209" s="1">
        <v>17.32</v>
      </c>
      <c r="G209" s="1">
        <v>21.11</v>
      </c>
      <c r="H209" s="1">
        <v>0</v>
      </c>
      <c r="I209" s="1">
        <v>0</v>
      </c>
      <c r="J209" s="1">
        <v>0</v>
      </c>
      <c r="K209" s="1">
        <f t="shared" si="3"/>
        <v>38.43</v>
      </c>
      <c r="L209" s="1" t="str">
        <f>_xlfn.XLOOKUP(A209,satellite_programs!A:A,satellite_programs!N:N)</f>
        <v>Retired</v>
      </c>
    </row>
    <row r="210" spans="1:12" x14ac:dyDescent="0.5">
      <c r="A210" s="1" t="s">
        <v>36</v>
      </c>
      <c r="B210" s="1" t="s">
        <v>32</v>
      </c>
      <c r="C210" s="1" t="s">
        <v>33</v>
      </c>
      <c r="D210" s="1">
        <v>2008</v>
      </c>
      <c r="E210" s="1" t="s">
        <v>28</v>
      </c>
      <c r="F210" s="1">
        <v>0</v>
      </c>
      <c r="G210" s="1">
        <v>0</v>
      </c>
      <c r="H210" s="1">
        <v>32.04</v>
      </c>
      <c r="I210" s="1">
        <v>19.68</v>
      </c>
      <c r="J210" s="1">
        <v>0</v>
      </c>
      <c r="K210" s="1">
        <f t="shared" si="3"/>
        <v>51.72</v>
      </c>
      <c r="L210" s="1" t="str">
        <f>_xlfn.XLOOKUP(A210,satellite_programs!A:A,satellite_programs!N:N)</f>
        <v>Retired</v>
      </c>
    </row>
    <row r="211" spans="1:12" x14ac:dyDescent="0.5">
      <c r="A211" s="1" t="s">
        <v>36</v>
      </c>
      <c r="B211" s="1" t="s">
        <v>32</v>
      </c>
      <c r="C211" s="1" t="s">
        <v>33</v>
      </c>
      <c r="D211" s="1">
        <v>2009</v>
      </c>
      <c r="E211" s="1" t="s">
        <v>28</v>
      </c>
      <c r="F211" s="1">
        <v>0</v>
      </c>
      <c r="G211" s="1">
        <v>0</v>
      </c>
      <c r="H211" s="1">
        <v>32.04</v>
      </c>
      <c r="I211" s="1">
        <v>20.27</v>
      </c>
      <c r="J211" s="1">
        <v>0</v>
      </c>
      <c r="K211" s="1">
        <f t="shared" si="3"/>
        <v>52.31</v>
      </c>
      <c r="L211" s="1" t="str">
        <f>_xlfn.XLOOKUP(A211,satellite_programs!A:A,satellite_programs!N:N)</f>
        <v>Retired</v>
      </c>
    </row>
    <row r="212" spans="1:12" x14ac:dyDescent="0.5">
      <c r="A212" s="1" t="s">
        <v>36</v>
      </c>
      <c r="B212" s="1" t="s">
        <v>32</v>
      </c>
      <c r="C212" s="1" t="s">
        <v>33</v>
      </c>
      <c r="D212" s="1">
        <v>2010</v>
      </c>
      <c r="E212" s="1" t="s">
        <v>28</v>
      </c>
      <c r="F212" s="1">
        <v>0</v>
      </c>
      <c r="G212" s="1">
        <v>0</v>
      </c>
      <c r="H212" s="1">
        <v>32.04</v>
      </c>
      <c r="I212" s="1">
        <v>20.86</v>
      </c>
      <c r="J212" s="1">
        <v>0</v>
      </c>
      <c r="K212" s="1">
        <f t="shared" si="3"/>
        <v>52.9</v>
      </c>
      <c r="L212" s="1" t="str">
        <f>_xlfn.XLOOKUP(A212,satellite_programs!A:A,satellite_programs!N:N)</f>
        <v>Retired</v>
      </c>
    </row>
    <row r="213" spans="1:12" x14ac:dyDescent="0.5">
      <c r="A213" s="1" t="s">
        <v>36</v>
      </c>
      <c r="B213" s="1" t="s">
        <v>32</v>
      </c>
      <c r="C213" s="1" t="s">
        <v>33</v>
      </c>
      <c r="D213" s="1">
        <v>2011</v>
      </c>
      <c r="E213" s="1" t="s">
        <v>28</v>
      </c>
      <c r="F213" s="1">
        <v>0</v>
      </c>
      <c r="G213" s="1">
        <v>0</v>
      </c>
      <c r="H213" s="1">
        <v>32.04</v>
      </c>
      <c r="I213" s="1">
        <v>21.45</v>
      </c>
      <c r="J213" s="1">
        <v>0</v>
      </c>
      <c r="K213" s="1">
        <f t="shared" si="3"/>
        <v>53.489999999999995</v>
      </c>
      <c r="L213" s="1" t="str">
        <f>_xlfn.XLOOKUP(A213,satellite_programs!A:A,satellite_programs!N:N)</f>
        <v>Retired</v>
      </c>
    </row>
    <row r="214" spans="1:12" x14ac:dyDescent="0.5">
      <c r="A214" s="1" t="s">
        <v>36</v>
      </c>
      <c r="B214" s="1" t="s">
        <v>32</v>
      </c>
      <c r="C214" s="1" t="s">
        <v>33</v>
      </c>
      <c r="D214" s="1">
        <v>2012</v>
      </c>
      <c r="E214" s="1" t="s">
        <v>28</v>
      </c>
      <c r="F214" s="1">
        <v>0</v>
      </c>
      <c r="G214" s="1">
        <v>0</v>
      </c>
      <c r="H214" s="1">
        <v>32.04</v>
      </c>
      <c r="I214" s="1">
        <v>22.04</v>
      </c>
      <c r="J214" s="1">
        <v>0</v>
      </c>
      <c r="K214" s="1">
        <f t="shared" si="3"/>
        <v>54.08</v>
      </c>
      <c r="L214" s="1" t="str">
        <f>_xlfn.XLOOKUP(A214,satellite_programs!A:A,satellite_programs!N:N)</f>
        <v>Retired</v>
      </c>
    </row>
    <row r="215" spans="1:12" x14ac:dyDescent="0.5">
      <c r="A215" s="1" t="s">
        <v>36</v>
      </c>
      <c r="B215" s="1" t="s">
        <v>32</v>
      </c>
      <c r="C215" s="1" t="s">
        <v>33</v>
      </c>
      <c r="D215" s="1">
        <v>2013</v>
      </c>
      <c r="E215" s="1" t="s">
        <v>28</v>
      </c>
      <c r="F215" s="1">
        <v>0</v>
      </c>
      <c r="G215" s="1">
        <v>0</v>
      </c>
      <c r="H215" s="1">
        <v>32.04</v>
      </c>
      <c r="I215" s="1">
        <v>22.63</v>
      </c>
      <c r="J215" s="1">
        <v>0</v>
      </c>
      <c r="K215" s="1">
        <f t="shared" si="3"/>
        <v>54.67</v>
      </c>
      <c r="L215" s="1" t="str">
        <f>_xlfn.XLOOKUP(A215,satellite_programs!A:A,satellite_programs!N:N)</f>
        <v>Retired</v>
      </c>
    </row>
    <row r="216" spans="1:12" x14ac:dyDescent="0.5">
      <c r="A216" s="1" t="s">
        <v>36</v>
      </c>
      <c r="B216" s="1" t="s">
        <v>32</v>
      </c>
      <c r="C216" s="1" t="s">
        <v>33</v>
      </c>
      <c r="D216" s="1">
        <v>2014</v>
      </c>
      <c r="E216" s="1" t="s">
        <v>28</v>
      </c>
      <c r="F216" s="1">
        <v>0</v>
      </c>
      <c r="G216" s="1">
        <v>0</v>
      </c>
      <c r="H216" s="1">
        <v>32.04</v>
      </c>
      <c r="I216" s="1">
        <v>23.22</v>
      </c>
      <c r="J216" s="1">
        <v>0</v>
      </c>
      <c r="K216" s="1">
        <f t="shared" si="3"/>
        <v>55.26</v>
      </c>
      <c r="L216" s="1" t="str">
        <f>_xlfn.XLOOKUP(A216,satellite_programs!A:A,satellite_programs!N:N)</f>
        <v>Retired</v>
      </c>
    </row>
    <row r="217" spans="1:12" x14ac:dyDescent="0.5">
      <c r="A217" s="1" t="s">
        <v>36</v>
      </c>
      <c r="B217" s="1" t="s">
        <v>32</v>
      </c>
      <c r="C217" s="1" t="s">
        <v>33</v>
      </c>
      <c r="D217" s="1">
        <v>2015</v>
      </c>
      <c r="E217" s="1" t="s">
        <v>28</v>
      </c>
      <c r="F217" s="1">
        <v>0</v>
      </c>
      <c r="G217" s="1">
        <v>0</v>
      </c>
      <c r="H217" s="1">
        <v>32.04</v>
      </c>
      <c r="I217" s="1">
        <v>23.81</v>
      </c>
      <c r="J217" s="1">
        <v>0</v>
      </c>
      <c r="K217" s="1">
        <f t="shared" si="3"/>
        <v>55.849999999999994</v>
      </c>
      <c r="L217" s="1" t="str">
        <f>_xlfn.XLOOKUP(A217,satellite_programs!A:A,satellite_programs!N:N)</f>
        <v>Retired</v>
      </c>
    </row>
    <row r="218" spans="1:12" x14ac:dyDescent="0.5">
      <c r="A218" s="1" t="s">
        <v>36</v>
      </c>
      <c r="B218" s="1" t="s">
        <v>32</v>
      </c>
      <c r="C218" s="1" t="s">
        <v>33</v>
      </c>
      <c r="D218" s="1">
        <v>2017</v>
      </c>
      <c r="E218" s="1" t="s">
        <v>103</v>
      </c>
      <c r="F218" s="1">
        <v>0</v>
      </c>
      <c r="G218" s="1">
        <v>0</v>
      </c>
      <c r="H218" s="1">
        <v>0</v>
      </c>
      <c r="I218" s="1">
        <v>0</v>
      </c>
      <c r="J218" s="1">
        <v>9.6199999999999992</v>
      </c>
      <c r="K218" s="1">
        <f t="shared" si="3"/>
        <v>9.6199999999999992</v>
      </c>
      <c r="L218" s="1" t="str">
        <f>_xlfn.XLOOKUP(A218,satellite_programs!A:A,satellite_programs!N:N)</f>
        <v>Retired</v>
      </c>
    </row>
    <row r="219" spans="1:12" x14ac:dyDescent="0.5">
      <c r="A219" s="1" t="s">
        <v>37</v>
      </c>
      <c r="B219" s="1" t="s">
        <v>32</v>
      </c>
      <c r="C219" s="1" t="s">
        <v>33</v>
      </c>
      <c r="D219" s="1">
        <v>2005</v>
      </c>
      <c r="E219" s="1" t="s">
        <v>104</v>
      </c>
      <c r="F219" s="1">
        <v>7.24</v>
      </c>
      <c r="G219" s="1">
        <v>0</v>
      </c>
      <c r="H219" s="1">
        <v>0</v>
      </c>
      <c r="I219" s="1">
        <v>0</v>
      </c>
      <c r="J219" s="1">
        <v>0</v>
      </c>
      <c r="K219" s="1">
        <f t="shared" si="3"/>
        <v>7.24</v>
      </c>
      <c r="L219" s="1" t="str">
        <f>_xlfn.XLOOKUP(A219,satellite_programs!A:A,satellite_programs!N:N)</f>
        <v>Retired</v>
      </c>
    </row>
    <row r="220" spans="1:12" x14ac:dyDescent="0.5">
      <c r="A220" s="1" t="s">
        <v>37</v>
      </c>
      <c r="B220" s="1" t="s">
        <v>32</v>
      </c>
      <c r="C220" s="1" t="s">
        <v>33</v>
      </c>
      <c r="D220" s="1">
        <v>2006</v>
      </c>
      <c r="E220" s="1" t="s">
        <v>104</v>
      </c>
      <c r="F220" s="1">
        <v>14.48</v>
      </c>
      <c r="G220" s="1">
        <v>0</v>
      </c>
      <c r="H220" s="1">
        <v>0</v>
      </c>
      <c r="I220" s="1">
        <v>0</v>
      </c>
      <c r="J220" s="1">
        <v>0</v>
      </c>
      <c r="K220" s="1">
        <f t="shared" si="3"/>
        <v>14.48</v>
      </c>
      <c r="L220" s="1" t="str">
        <f>_xlfn.XLOOKUP(A220,satellite_programs!A:A,satellite_programs!N:N)</f>
        <v>Retired</v>
      </c>
    </row>
    <row r="221" spans="1:12" x14ac:dyDescent="0.5">
      <c r="A221" s="1" t="s">
        <v>37</v>
      </c>
      <c r="B221" s="1" t="s">
        <v>32</v>
      </c>
      <c r="C221" s="1" t="s">
        <v>33</v>
      </c>
      <c r="D221" s="1">
        <v>2007</v>
      </c>
      <c r="E221" s="1" t="s">
        <v>104</v>
      </c>
      <c r="F221" s="1">
        <v>26.06</v>
      </c>
      <c r="G221" s="1">
        <v>0</v>
      </c>
      <c r="H221" s="1">
        <v>0</v>
      </c>
      <c r="I221" s="1">
        <v>0</v>
      </c>
      <c r="J221" s="1">
        <v>0</v>
      </c>
      <c r="K221" s="1">
        <f t="shared" si="3"/>
        <v>26.06</v>
      </c>
      <c r="L221" s="1" t="str">
        <f>_xlfn.XLOOKUP(A221,satellite_programs!A:A,satellite_programs!N:N)</f>
        <v>Retired</v>
      </c>
    </row>
    <row r="222" spans="1:12" x14ac:dyDescent="0.5">
      <c r="A222" s="1" t="s">
        <v>37</v>
      </c>
      <c r="B222" s="1" t="s">
        <v>32</v>
      </c>
      <c r="C222" s="1" t="s">
        <v>33</v>
      </c>
      <c r="D222" s="1">
        <v>2008</v>
      </c>
      <c r="E222" s="1" t="s">
        <v>104</v>
      </c>
      <c r="F222" s="1">
        <v>31.85</v>
      </c>
      <c r="G222" s="1">
        <v>0</v>
      </c>
      <c r="H222" s="1">
        <v>0</v>
      </c>
      <c r="I222" s="1">
        <v>0</v>
      </c>
      <c r="J222" s="1">
        <v>0</v>
      </c>
      <c r="K222" s="1">
        <f t="shared" si="3"/>
        <v>31.85</v>
      </c>
      <c r="L222" s="1" t="str">
        <f>_xlfn.XLOOKUP(A222,satellite_programs!A:A,satellite_programs!N:N)</f>
        <v>Retired</v>
      </c>
    </row>
    <row r="223" spans="1:12" x14ac:dyDescent="0.5">
      <c r="A223" s="1" t="s">
        <v>37</v>
      </c>
      <c r="B223" s="1" t="s">
        <v>32</v>
      </c>
      <c r="C223" s="1" t="s">
        <v>33</v>
      </c>
      <c r="D223" s="1">
        <v>2009</v>
      </c>
      <c r="E223" s="1" t="s">
        <v>104</v>
      </c>
      <c r="F223" s="1">
        <v>28.96</v>
      </c>
      <c r="G223" s="1">
        <v>28.03</v>
      </c>
      <c r="H223" s="1">
        <v>0</v>
      </c>
      <c r="I223" s="1">
        <v>0</v>
      </c>
      <c r="J223" s="1">
        <v>0</v>
      </c>
      <c r="K223" s="1">
        <f t="shared" si="3"/>
        <v>56.99</v>
      </c>
      <c r="L223" s="1" t="str">
        <f>_xlfn.XLOOKUP(A223,satellite_programs!A:A,satellite_programs!N:N)</f>
        <v>Retired</v>
      </c>
    </row>
    <row r="224" spans="1:12" x14ac:dyDescent="0.5">
      <c r="A224" s="1" t="s">
        <v>37</v>
      </c>
      <c r="B224" s="1" t="s">
        <v>32</v>
      </c>
      <c r="C224" s="1" t="s">
        <v>33</v>
      </c>
      <c r="D224" s="1">
        <v>2010</v>
      </c>
      <c r="E224" s="1" t="s">
        <v>104</v>
      </c>
      <c r="F224" s="1">
        <v>18.82</v>
      </c>
      <c r="G224" s="1">
        <v>22.93</v>
      </c>
      <c r="H224" s="1">
        <v>0</v>
      </c>
      <c r="I224" s="1">
        <v>0</v>
      </c>
      <c r="J224" s="1">
        <v>0</v>
      </c>
      <c r="K224" s="1">
        <f t="shared" si="3"/>
        <v>41.75</v>
      </c>
      <c r="L224" s="1" t="str">
        <f>_xlfn.XLOOKUP(A224,satellite_programs!A:A,satellite_programs!N:N)</f>
        <v>Retired</v>
      </c>
    </row>
    <row r="225" spans="1:12" x14ac:dyDescent="0.5">
      <c r="A225" s="1" t="s">
        <v>37</v>
      </c>
      <c r="B225" s="1" t="s">
        <v>32</v>
      </c>
      <c r="C225" s="1" t="s">
        <v>33</v>
      </c>
      <c r="D225" s="1">
        <v>2011</v>
      </c>
      <c r="E225" s="1" t="s">
        <v>28</v>
      </c>
      <c r="F225" s="1">
        <v>0</v>
      </c>
      <c r="G225" s="1">
        <v>0</v>
      </c>
      <c r="H225" s="1">
        <v>34.4</v>
      </c>
      <c r="I225" s="1">
        <v>20.399999999999999</v>
      </c>
      <c r="J225" s="1">
        <v>0</v>
      </c>
      <c r="K225" s="1">
        <f t="shared" si="3"/>
        <v>54.8</v>
      </c>
      <c r="L225" s="1" t="str">
        <f>_xlfn.XLOOKUP(A225,satellite_programs!A:A,satellite_programs!N:N)</f>
        <v>Retired</v>
      </c>
    </row>
    <row r="226" spans="1:12" x14ac:dyDescent="0.5">
      <c r="A226" s="1" t="s">
        <v>37</v>
      </c>
      <c r="B226" s="1" t="s">
        <v>32</v>
      </c>
      <c r="C226" s="1" t="s">
        <v>33</v>
      </c>
      <c r="D226" s="1">
        <v>2012</v>
      </c>
      <c r="E226" s="1" t="s">
        <v>28</v>
      </c>
      <c r="F226" s="1">
        <v>0</v>
      </c>
      <c r="G226" s="1">
        <v>0</v>
      </c>
      <c r="H226" s="1">
        <v>34.4</v>
      </c>
      <c r="I226" s="1">
        <v>21.01</v>
      </c>
      <c r="J226" s="1">
        <v>0</v>
      </c>
      <c r="K226" s="1">
        <f t="shared" si="3"/>
        <v>55.41</v>
      </c>
      <c r="L226" s="1" t="str">
        <f>_xlfn.XLOOKUP(A226,satellite_programs!A:A,satellite_programs!N:N)</f>
        <v>Retired</v>
      </c>
    </row>
    <row r="227" spans="1:12" x14ac:dyDescent="0.5">
      <c r="A227" s="1" t="s">
        <v>37</v>
      </c>
      <c r="B227" s="1" t="s">
        <v>32</v>
      </c>
      <c r="C227" s="1" t="s">
        <v>33</v>
      </c>
      <c r="D227" s="1">
        <v>2013</v>
      </c>
      <c r="E227" s="1" t="s">
        <v>28</v>
      </c>
      <c r="F227" s="1">
        <v>0</v>
      </c>
      <c r="G227" s="1">
        <v>0</v>
      </c>
      <c r="H227" s="1">
        <v>34.4</v>
      </c>
      <c r="I227" s="1">
        <v>21.62</v>
      </c>
      <c r="J227" s="1">
        <v>0</v>
      </c>
      <c r="K227" s="1">
        <f t="shared" si="3"/>
        <v>56.019999999999996</v>
      </c>
      <c r="L227" s="1" t="str">
        <f>_xlfn.XLOOKUP(A227,satellite_programs!A:A,satellite_programs!N:N)</f>
        <v>Retired</v>
      </c>
    </row>
    <row r="228" spans="1:12" x14ac:dyDescent="0.5">
      <c r="A228" s="1" t="s">
        <v>37</v>
      </c>
      <c r="B228" s="1" t="s">
        <v>32</v>
      </c>
      <c r="C228" s="1" t="s">
        <v>33</v>
      </c>
      <c r="D228" s="1">
        <v>2014</v>
      </c>
      <c r="E228" s="1" t="s">
        <v>28</v>
      </c>
      <c r="F228" s="1">
        <v>0</v>
      </c>
      <c r="G228" s="1">
        <v>0</v>
      </c>
      <c r="H228" s="1">
        <v>34.4</v>
      </c>
      <c r="I228" s="1">
        <v>22.24</v>
      </c>
      <c r="J228" s="1">
        <v>0</v>
      </c>
      <c r="K228" s="1">
        <f t="shared" si="3"/>
        <v>56.64</v>
      </c>
      <c r="L228" s="1" t="str">
        <f>_xlfn.XLOOKUP(A228,satellite_programs!A:A,satellite_programs!N:N)</f>
        <v>Retired</v>
      </c>
    </row>
    <row r="229" spans="1:12" x14ac:dyDescent="0.5">
      <c r="A229" s="1" t="s">
        <v>37</v>
      </c>
      <c r="B229" s="1" t="s">
        <v>32</v>
      </c>
      <c r="C229" s="1" t="s">
        <v>33</v>
      </c>
      <c r="D229" s="1">
        <v>2015</v>
      </c>
      <c r="E229" s="1" t="s">
        <v>28</v>
      </c>
      <c r="F229" s="1">
        <v>0</v>
      </c>
      <c r="G229" s="1">
        <v>0</v>
      </c>
      <c r="H229" s="1">
        <v>34.4</v>
      </c>
      <c r="I229" s="1">
        <v>22.85</v>
      </c>
      <c r="J229" s="1">
        <v>0</v>
      </c>
      <c r="K229" s="1">
        <f t="shared" si="3"/>
        <v>57.25</v>
      </c>
      <c r="L229" s="1" t="str">
        <f>_xlfn.XLOOKUP(A229,satellite_programs!A:A,satellite_programs!N:N)</f>
        <v>Retired</v>
      </c>
    </row>
    <row r="230" spans="1:12" x14ac:dyDescent="0.5">
      <c r="A230" s="1" t="s">
        <v>37</v>
      </c>
      <c r="B230" s="1" t="s">
        <v>32</v>
      </c>
      <c r="C230" s="1" t="s">
        <v>33</v>
      </c>
      <c r="D230" s="1">
        <v>2016</v>
      </c>
      <c r="E230" s="1" t="s">
        <v>28</v>
      </c>
      <c r="F230" s="1">
        <v>0</v>
      </c>
      <c r="G230" s="1">
        <v>0</v>
      </c>
      <c r="H230" s="1">
        <v>34.4</v>
      </c>
      <c r="I230" s="1">
        <v>23.46</v>
      </c>
      <c r="J230" s="1">
        <v>0</v>
      </c>
      <c r="K230" s="1">
        <f t="shared" si="3"/>
        <v>57.86</v>
      </c>
      <c r="L230" s="1" t="str">
        <f>_xlfn.XLOOKUP(A230,satellite_programs!A:A,satellite_programs!N:N)</f>
        <v>Retired</v>
      </c>
    </row>
    <row r="231" spans="1:12" x14ac:dyDescent="0.5">
      <c r="A231" s="1" t="s">
        <v>37</v>
      </c>
      <c r="B231" s="1" t="s">
        <v>32</v>
      </c>
      <c r="C231" s="1" t="s">
        <v>33</v>
      </c>
      <c r="D231" s="1">
        <v>2017</v>
      </c>
      <c r="E231" s="1" t="s">
        <v>28</v>
      </c>
      <c r="F231" s="1">
        <v>0</v>
      </c>
      <c r="G231" s="1">
        <v>0</v>
      </c>
      <c r="H231" s="1">
        <v>34.4</v>
      </c>
      <c r="I231" s="1">
        <v>24.07</v>
      </c>
      <c r="J231" s="1">
        <v>0</v>
      </c>
      <c r="K231" s="1">
        <f t="shared" si="3"/>
        <v>58.47</v>
      </c>
      <c r="L231" s="1" t="str">
        <f>_xlfn.XLOOKUP(A231,satellite_programs!A:A,satellite_programs!N:N)</f>
        <v>Retired</v>
      </c>
    </row>
    <row r="232" spans="1:12" x14ac:dyDescent="0.5">
      <c r="A232" s="1" t="s">
        <v>37</v>
      </c>
      <c r="B232" s="1" t="s">
        <v>32</v>
      </c>
      <c r="C232" s="1" t="s">
        <v>33</v>
      </c>
      <c r="D232" s="1">
        <v>2018</v>
      </c>
      <c r="E232" s="1" t="s">
        <v>28</v>
      </c>
      <c r="F232" s="1">
        <v>0</v>
      </c>
      <c r="G232" s="1">
        <v>0</v>
      </c>
      <c r="H232" s="1">
        <v>34.4</v>
      </c>
      <c r="I232" s="1">
        <v>24.68</v>
      </c>
      <c r="J232" s="1">
        <v>0</v>
      </c>
      <c r="K232" s="1">
        <f t="shared" si="3"/>
        <v>59.08</v>
      </c>
      <c r="L232" s="1" t="str">
        <f>_xlfn.XLOOKUP(A232,satellite_programs!A:A,satellite_programs!N:N)</f>
        <v>Retired</v>
      </c>
    </row>
    <row r="233" spans="1:12" x14ac:dyDescent="0.5">
      <c r="A233" s="1" t="s">
        <v>37</v>
      </c>
      <c r="B233" s="1" t="s">
        <v>32</v>
      </c>
      <c r="C233" s="1" t="s">
        <v>33</v>
      </c>
      <c r="D233" s="1">
        <v>2020</v>
      </c>
      <c r="E233" s="1" t="s">
        <v>103</v>
      </c>
      <c r="F233" s="1">
        <v>0</v>
      </c>
      <c r="G233" s="1">
        <v>0</v>
      </c>
      <c r="H233" s="1">
        <v>0</v>
      </c>
      <c r="I233" s="1">
        <v>0</v>
      </c>
      <c r="J233" s="1">
        <v>9.9</v>
      </c>
      <c r="K233" s="1">
        <f t="shared" si="3"/>
        <v>9.9</v>
      </c>
      <c r="L233" s="1" t="str">
        <f>_xlfn.XLOOKUP(A233,satellite_programs!A:A,satellite_programs!N:N)</f>
        <v>Retired</v>
      </c>
    </row>
    <row r="234" spans="1:12" x14ac:dyDescent="0.5">
      <c r="A234" s="1" t="s">
        <v>38</v>
      </c>
      <c r="B234" s="1" t="s">
        <v>32</v>
      </c>
      <c r="C234" s="1" t="s">
        <v>33</v>
      </c>
      <c r="D234" s="1">
        <v>2008</v>
      </c>
      <c r="E234" s="1" t="s">
        <v>104</v>
      </c>
      <c r="F234" s="1">
        <v>8.5</v>
      </c>
      <c r="G234" s="1">
        <v>0</v>
      </c>
      <c r="H234" s="1">
        <v>0</v>
      </c>
      <c r="I234" s="1">
        <v>0</v>
      </c>
      <c r="J234" s="1">
        <v>0</v>
      </c>
      <c r="K234" s="1">
        <f t="shared" si="3"/>
        <v>8.5</v>
      </c>
      <c r="L234" s="1" t="str">
        <f>_xlfn.XLOOKUP(A234,satellite_programs!A:A,satellite_programs!N:N)</f>
        <v>Retired</v>
      </c>
    </row>
    <row r="235" spans="1:12" x14ac:dyDescent="0.5">
      <c r="A235" s="1" t="s">
        <v>38</v>
      </c>
      <c r="B235" s="1" t="s">
        <v>32</v>
      </c>
      <c r="C235" s="1" t="s">
        <v>33</v>
      </c>
      <c r="D235" s="1">
        <v>2009</v>
      </c>
      <c r="E235" s="1" t="s">
        <v>104</v>
      </c>
      <c r="F235" s="1">
        <v>16.989999999999998</v>
      </c>
      <c r="G235" s="1">
        <v>0</v>
      </c>
      <c r="H235" s="1">
        <v>0</v>
      </c>
      <c r="I235" s="1">
        <v>0</v>
      </c>
      <c r="J235" s="1">
        <v>0</v>
      </c>
      <c r="K235" s="1">
        <f t="shared" si="3"/>
        <v>16.989999999999998</v>
      </c>
      <c r="L235" s="1" t="str">
        <f>_xlfn.XLOOKUP(A235,satellite_programs!A:A,satellite_programs!N:N)</f>
        <v>Retired</v>
      </c>
    </row>
    <row r="236" spans="1:12" x14ac:dyDescent="0.5">
      <c r="A236" s="1" t="s">
        <v>38</v>
      </c>
      <c r="B236" s="1" t="s">
        <v>32</v>
      </c>
      <c r="C236" s="1" t="s">
        <v>33</v>
      </c>
      <c r="D236" s="1">
        <v>2010</v>
      </c>
      <c r="E236" s="1" t="s">
        <v>104</v>
      </c>
      <c r="F236" s="1">
        <v>30.59</v>
      </c>
      <c r="G236" s="1">
        <v>0</v>
      </c>
      <c r="H236" s="1">
        <v>0</v>
      </c>
      <c r="I236" s="1">
        <v>0</v>
      </c>
      <c r="J236" s="1">
        <v>0</v>
      </c>
      <c r="K236" s="1">
        <f t="shared" si="3"/>
        <v>30.59</v>
      </c>
      <c r="L236" s="1" t="str">
        <f>_xlfn.XLOOKUP(A236,satellite_programs!A:A,satellite_programs!N:N)</f>
        <v>Retired</v>
      </c>
    </row>
    <row r="237" spans="1:12" x14ac:dyDescent="0.5">
      <c r="A237" s="1" t="s">
        <v>38</v>
      </c>
      <c r="B237" s="1" t="s">
        <v>32</v>
      </c>
      <c r="C237" s="1" t="s">
        <v>33</v>
      </c>
      <c r="D237" s="1">
        <v>2011</v>
      </c>
      <c r="E237" s="1" t="s">
        <v>104</v>
      </c>
      <c r="F237" s="1">
        <v>37.39</v>
      </c>
      <c r="G237" s="1">
        <v>0</v>
      </c>
      <c r="H237" s="1">
        <v>0</v>
      </c>
      <c r="I237" s="1">
        <v>0</v>
      </c>
      <c r="J237" s="1">
        <v>0</v>
      </c>
      <c r="K237" s="1">
        <f t="shared" si="3"/>
        <v>37.39</v>
      </c>
      <c r="L237" s="1" t="str">
        <f>_xlfn.XLOOKUP(A237,satellite_programs!A:A,satellite_programs!N:N)</f>
        <v>Retired</v>
      </c>
    </row>
    <row r="238" spans="1:12" x14ac:dyDescent="0.5">
      <c r="A238" s="1" t="s">
        <v>38</v>
      </c>
      <c r="B238" s="1" t="s">
        <v>32</v>
      </c>
      <c r="C238" s="1" t="s">
        <v>33</v>
      </c>
      <c r="D238" s="1">
        <v>2012</v>
      </c>
      <c r="E238" s="1" t="s">
        <v>104</v>
      </c>
      <c r="F238" s="1">
        <v>33.99</v>
      </c>
      <c r="G238" s="1">
        <v>32.9</v>
      </c>
      <c r="H238" s="1">
        <v>0</v>
      </c>
      <c r="I238" s="1">
        <v>0</v>
      </c>
      <c r="J238" s="1">
        <v>0</v>
      </c>
      <c r="K238" s="1">
        <f t="shared" si="3"/>
        <v>66.89</v>
      </c>
      <c r="L238" s="1" t="str">
        <f>_xlfn.XLOOKUP(A238,satellite_programs!A:A,satellite_programs!N:N)</f>
        <v>Retired</v>
      </c>
    </row>
    <row r="239" spans="1:12" x14ac:dyDescent="0.5">
      <c r="A239" s="1" t="s">
        <v>38</v>
      </c>
      <c r="B239" s="1" t="s">
        <v>32</v>
      </c>
      <c r="C239" s="1" t="s">
        <v>33</v>
      </c>
      <c r="D239" s="1">
        <v>2013</v>
      </c>
      <c r="E239" s="1" t="s">
        <v>104</v>
      </c>
      <c r="F239" s="1">
        <v>22.09</v>
      </c>
      <c r="G239" s="1">
        <v>26.92</v>
      </c>
      <c r="H239" s="1">
        <v>0</v>
      </c>
      <c r="I239" s="1">
        <v>0</v>
      </c>
      <c r="J239" s="1">
        <v>0</v>
      </c>
      <c r="K239" s="1">
        <f t="shared" si="3"/>
        <v>49.010000000000005</v>
      </c>
      <c r="L239" s="1" t="str">
        <f>_xlfn.XLOOKUP(A239,satellite_programs!A:A,satellite_programs!N:N)</f>
        <v>Retired</v>
      </c>
    </row>
    <row r="240" spans="1:12" x14ac:dyDescent="0.5">
      <c r="A240" s="1" t="s">
        <v>38</v>
      </c>
      <c r="B240" s="1" t="s">
        <v>32</v>
      </c>
      <c r="C240" s="1" t="s">
        <v>33</v>
      </c>
      <c r="D240" s="1">
        <v>2014</v>
      </c>
      <c r="E240" s="1" t="s">
        <v>28</v>
      </c>
      <c r="F240" s="1">
        <v>0</v>
      </c>
      <c r="G240" s="1">
        <v>0</v>
      </c>
      <c r="H240" s="1">
        <v>34.799999999999997</v>
      </c>
      <c r="I240" s="1">
        <v>20.76</v>
      </c>
      <c r="J240" s="1">
        <v>0</v>
      </c>
      <c r="K240" s="1">
        <f t="shared" si="3"/>
        <v>55.56</v>
      </c>
      <c r="L240" s="1" t="str">
        <f>_xlfn.XLOOKUP(A240,satellite_programs!A:A,satellite_programs!N:N)</f>
        <v>Retired</v>
      </c>
    </row>
    <row r="241" spans="1:12" x14ac:dyDescent="0.5">
      <c r="A241" s="1" t="s">
        <v>38</v>
      </c>
      <c r="B241" s="1" t="s">
        <v>32</v>
      </c>
      <c r="C241" s="1" t="s">
        <v>33</v>
      </c>
      <c r="D241" s="1">
        <v>2015</v>
      </c>
      <c r="E241" s="1" t="s">
        <v>28</v>
      </c>
      <c r="F241" s="1">
        <v>0</v>
      </c>
      <c r="G241" s="1">
        <v>0</v>
      </c>
      <c r="H241" s="1">
        <v>34.799999999999997</v>
      </c>
      <c r="I241" s="1">
        <v>21.38</v>
      </c>
      <c r="J241" s="1">
        <v>0</v>
      </c>
      <c r="K241" s="1">
        <f t="shared" si="3"/>
        <v>56.179999999999993</v>
      </c>
      <c r="L241" s="1" t="str">
        <f>_xlfn.XLOOKUP(A241,satellite_programs!A:A,satellite_programs!N:N)</f>
        <v>Retired</v>
      </c>
    </row>
    <row r="242" spans="1:12" x14ac:dyDescent="0.5">
      <c r="A242" s="1" t="s">
        <v>38</v>
      </c>
      <c r="B242" s="1" t="s">
        <v>32</v>
      </c>
      <c r="C242" s="1" t="s">
        <v>33</v>
      </c>
      <c r="D242" s="1">
        <v>2016</v>
      </c>
      <c r="E242" s="1" t="s">
        <v>28</v>
      </c>
      <c r="F242" s="1">
        <v>0</v>
      </c>
      <c r="G242" s="1">
        <v>0</v>
      </c>
      <c r="H242" s="1">
        <v>34.799999999999997</v>
      </c>
      <c r="I242" s="1">
        <v>22.01</v>
      </c>
      <c r="J242" s="1">
        <v>0</v>
      </c>
      <c r="K242" s="1">
        <f t="shared" si="3"/>
        <v>56.81</v>
      </c>
      <c r="L242" s="1" t="str">
        <f>_xlfn.XLOOKUP(A242,satellite_programs!A:A,satellite_programs!N:N)</f>
        <v>Retired</v>
      </c>
    </row>
    <row r="243" spans="1:12" x14ac:dyDescent="0.5">
      <c r="A243" s="1" t="s">
        <v>38</v>
      </c>
      <c r="B243" s="1" t="s">
        <v>32</v>
      </c>
      <c r="C243" s="1" t="s">
        <v>33</v>
      </c>
      <c r="D243" s="1">
        <v>2017</v>
      </c>
      <c r="E243" s="1" t="s">
        <v>28</v>
      </c>
      <c r="F243" s="1">
        <v>0</v>
      </c>
      <c r="G243" s="1">
        <v>0</v>
      </c>
      <c r="H243" s="1">
        <v>34.799999999999997</v>
      </c>
      <c r="I243" s="1">
        <v>22.63</v>
      </c>
      <c r="J243" s="1">
        <v>0</v>
      </c>
      <c r="K243" s="1">
        <f t="shared" si="3"/>
        <v>57.429999999999993</v>
      </c>
      <c r="L243" s="1" t="str">
        <f>_xlfn.XLOOKUP(A243,satellite_programs!A:A,satellite_programs!N:N)</f>
        <v>Retired</v>
      </c>
    </row>
    <row r="244" spans="1:12" x14ac:dyDescent="0.5">
      <c r="A244" s="1" t="s">
        <v>38</v>
      </c>
      <c r="B244" s="1" t="s">
        <v>32</v>
      </c>
      <c r="C244" s="1" t="s">
        <v>33</v>
      </c>
      <c r="D244" s="1">
        <v>2018</v>
      </c>
      <c r="E244" s="1" t="s">
        <v>28</v>
      </c>
      <c r="F244" s="1">
        <v>0</v>
      </c>
      <c r="G244" s="1">
        <v>0</v>
      </c>
      <c r="H244" s="1">
        <v>34.799999999999997</v>
      </c>
      <c r="I244" s="1">
        <v>23.25</v>
      </c>
      <c r="J244" s="1">
        <v>0</v>
      </c>
      <c r="K244" s="1">
        <f t="shared" si="3"/>
        <v>58.05</v>
      </c>
      <c r="L244" s="1" t="str">
        <f>_xlfn.XLOOKUP(A244,satellite_programs!A:A,satellite_programs!N:N)</f>
        <v>Retired</v>
      </c>
    </row>
    <row r="245" spans="1:12" x14ac:dyDescent="0.5">
      <c r="A245" s="1" t="s">
        <v>38</v>
      </c>
      <c r="B245" s="1" t="s">
        <v>32</v>
      </c>
      <c r="C245" s="1" t="s">
        <v>33</v>
      </c>
      <c r="D245" s="1">
        <v>2019</v>
      </c>
      <c r="E245" s="1" t="s">
        <v>28</v>
      </c>
      <c r="F245" s="1">
        <v>0</v>
      </c>
      <c r="G245" s="1">
        <v>0</v>
      </c>
      <c r="H245" s="1">
        <v>34.799999999999997</v>
      </c>
      <c r="I245" s="1">
        <v>23.87</v>
      </c>
      <c r="J245" s="1">
        <v>0</v>
      </c>
      <c r="K245" s="1">
        <f t="shared" si="3"/>
        <v>58.67</v>
      </c>
      <c r="L245" s="1" t="str">
        <f>_xlfn.XLOOKUP(A245,satellite_programs!A:A,satellite_programs!N:N)</f>
        <v>Retired</v>
      </c>
    </row>
    <row r="246" spans="1:12" x14ac:dyDescent="0.5">
      <c r="A246" s="1" t="s">
        <v>38</v>
      </c>
      <c r="B246" s="1" t="s">
        <v>32</v>
      </c>
      <c r="C246" s="1" t="s">
        <v>33</v>
      </c>
      <c r="D246" s="1">
        <v>2020</v>
      </c>
      <c r="E246" s="1" t="s">
        <v>28</v>
      </c>
      <c r="F246" s="1">
        <v>0</v>
      </c>
      <c r="G246" s="1">
        <v>0</v>
      </c>
      <c r="H246" s="1">
        <v>34.799999999999997</v>
      </c>
      <c r="I246" s="1">
        <v>24.5</v>
      </c>
      <c r="J246" s="1">
        <v>0</v>
      </c>
      <c r="K246" s="1">
        <f t="shared" si="3"/>
        <v>59.3</v>
      </c>
      <c r="L246" s="1" t="str">
        <f>_xlfn.XLOOKUP(A246,satellite_programs!A:A,satellite_programs!N:N)</f>
        <v>Retired</v>
      </c>
    </row>
    <row r="247" spans="1:12" x14ac:dyDescent="0.5">
      <c r="A247" s="1" t="s">
        <v>38</v>
      </c>
      <c r="B247" s="1" t="s">
        <v>32</v>
      </c>
      <c r="C247" s="1" t="s">
        <v>33</v>
      </c>
      <c r="D247" s="1">
        <v>2021</v>
      </c>
      <c r="E247" s="1" t="s">
        <v>28</v>
      </c>
      <c r="F247" s="1">
        <v>0</v>
      </c>
      <c r="G247" s="1">
        <v>0</v>
      </c>
      <c r="H247" s="1">
        <v>34.799999999999997</v>
      </c>
      <c r="I247" s="1">
        <v>25.12</v>
      </c>
      <c r="J247" s="1">
        <v>0</v>
      </c>
      <c r="K247" s="1">
        <f t="shared" si="3"/>
        <v>59.92</v>
      </c>
      <c r="L247" s="1" t="str">
        <f>_xlfn.XLOOKUP(A247,satellite_programs!A:A,satellite_programs!N:N)</f>
        <v>Retired</v>
      </c>
    </row>
    <row r="248" spans="1:12" x14ac:dyDescent="0.5">
      <c r="A248" s="1" t="s">
        <v>38</v>
      </c>
      <c r="B248" s="1" t="s">
        <v>32</v>
      </c>
      <c r="C248" s="1" t="s">
        <v>33</v>
      </c>
      <c r="D248" s="1">
        <v>2022</v>
      </c>
      <c r="E248" s="1" t="s">
        <v>28</v>
      </c>
      <c r="F248" s="1">
        <v>0</v>
      </c>
      <c r="G248" s="1">
        <v>0</v>
      </c>
      <c r="H248" s="1">
        <v>34.799999999999997</v>
      </c>
      <c r="I248" s="1">
        <v>25.74</v>
      </c>
      <c r="J248" s="1">
        <v>0</v>
      </c>
      <c r="K248" s="1">
        <f t="shared" si="3"/>
        <v>60.539999999999992</v>
      </c>
      <c r="L248" s="1" t="str">
        <f>_xlfn.XLOOKUP(A248,satellite_programs!A:A,satellite_programs!N:N)</f>
        <v>Retired</v>
      </c>
    </row>
    <row r="249" spans="1:12" x14ac:dyDescent="0.5">
      <c r="A249" s="1" t="s">
        <v>38</v>
      </c>
      <c r="B249" s="1" t="s">
        <v>32</v>
      </c>
      <c r="C249" s="1" t="s">
        <v>33</v>
      </c>
      <c r="D249" s="1">
        <v>2023</v>
      </c>
      <c r="E249" s="1" t="s">
        <v>28</v>
      </c>
      <c r="F249" s="1">
        <v>0</v>
      </c>
      <c r="G249" s="1">
        <v>0</v>
      </c>
      <c r="H249" s="1">
        <v>34.799999999999997</v>
      </c>
      <c r="I249" s="1">
        <v>26.37</v>
      </c>
      <c r="J249" s="1">
        <v>0</v>
      </c>
      <c r="K249" s="1">
        <f t="shared" si="3"/>
        <v>61.17</v>
      </c>
      <c r="L249" s="1" t="str">
        <f>_xlfn.XLOOKUP(A249,satellite_programs!A:A,satellite_programs!N:N)</f>
        <v>Retired</v>
      </c>
    </row>
    <row r="250" spans="1:12" x14ac:dyDescent="0.5">
      <c r="A250" s="1" t="s">
        <v>38</v>
      </c>
      <c r="B250" s="1" t="s">
        <v>32</v>
      </c>
      <c r="C250" s="1" t="s">
        <v>33</v>
      </c>
      <c r="D250" s="1">
        <v>2025</v>
      </c>
      <c r="E250" s="1" t="s">
        <v>103</v>
      </c>
      <c r="F250" s="1">
        <v>0</v>
      </c>
      <c r="G250" s="1">
        <v>0</v>
      </c>
      <c r="H250" s="1">
        <v>0</v>
      </c>
      <c r="I250" s="1">
        <v>0</v>
      </c>
      <c r="J250" s="1">
        <v>10.1</v>
      </c>
      <c r="K250" s="1">
        <f t="shared" si="3"/>
        <v>10.1</v>
      </c>
      <c r="L250" s="1" t="str">
        <f>_xlfn.XLOOKUP(A250,satellite_programs!A:A,satellite_programs!N:N)</f>
        <v>Retired</v>
      </c>
    </row>
    <row r="251" spans="1:12" x14ac:dyDescent="0.5">
      <c r="A251" s="1" t="s">
        <v>39</v>
      </c>
      <c r="B251" s="1" t="s">
        <v>32</v>
      </c>
      <c r="C251" s="1" t="s">
        <v>33</v>
      </c>
      <c r="D251" s="1">
        <v>2011</v>
      </c>
      <c r="E251" s="1" t="s">
        <v>104</v>
      </c>
      <c r="F251" s="1">
        <v>8.67</v>
      </c>
      <c r="G251" s="1">
        <v>0</v>
      </c>
      <c r="H251" s="1">
        <v>0</v>
      </c>
      <c r="I251" s="1">
        <v>0</v>
      </c>
      <c r="J251" s="1">
        <v>0</v>
      </c>
      <c r="K251" s="1">
        <f t="shared" si="3"/>
        <v>8.67</v>
      </c>
      <c r="L251" s="1" t="str">
        <f>_xlfn.XLOOKUP(A251,satellite_programs!A:A,satellite_programs!N:N)</f>
        <v>Operations</v>
      </c>
    </row>
    <row r="252" spans="1:12" x14ac:dyDescent="0.5">
      <c r="A252" s="1" t="s">
        <v>39</v>
      </c>
      <c r="B252" s="1" t="s">
        <v>32</v>
      </c>
      <c r="C252" s="1" t="s">
        <v>33</v>
      </c>
      <c r="D252" s="1">
        <v>2012</v>
      </c>
      <c r="E252" s="1" t="s">
        <v>104</v>
      </c>
      <c r="F252" s="1">
        <v>17.329999999999998</v>
      </c>
      <c r="G252" s="1">
        <v>0</v>
      </c>
      <c r="H252" s="1">
        <v>0</v>
      </c>
      <c r="I252" s="1">
        <v>0</v>
      </c>
      <c r="J252" s="1">
        <v>0</v>
      </c>
      <c r="K252" s="1">
        <f t="shared" si="3"/>
        <v>17.329999999999998</v>
      </c>
      <c r="L252" s="1" t="str">
        <f>_xlfn.XLOOKUP(A252,satellite_programs!A:A,satellite_programs!N:N)</f>
        <v>Operations</v>
      </c>
    </row>
    <row r="253" spans="1:12" x14ac:dyDescent="0.5">
      <c r="A253" s="1" t="s">
        <v>39</v>
      </c>
      <c r="B253" s="1" t="s">
        <v>32</v>
      </c>
      <c r="C253" s="1" t="s">
        <v>33</v>
      </c>
      <c r="D253" s="1">
        <v>2013</v>
      </c>
      <c r="E253" s="1" t="s">
        <v>104</v>
      </c>
      <c r="F253" s="1">
        <v>31.2</v>
      </c>
      <c r="G253" s="1">
        <v>0</v>
      </c>
      <c r="H253" s="1">
        <v>0</v>
      </c>
      <c r="I253" s="1">
        <v>0</v>
      </c>
      <c r="J253" s="1">
        <v>0</v>
      </c>
      <c r="K253" s="1">
        <f t="shared" si="3"/>
        <v>31.2</v>
      </c>
      <c r="L253" s="1" t="str">
        <f>_xlfn.XLOOKUP(A253,satellite_programs!A:A,satellite_programs!N:N)</f>
        <v>Operations</v>
      </c>
    </row>
    <row r="254" spans="1:12" x14ac:dyDescent="0.5">
      <c r="A254" s="1" t="s">
        <v>39</v>
      </c>
      <c r="B254" s="1" t="s">
        <v>32</v>
      </c>
      <c r="C254" s="1" t="s">
        <v>33</v>
      </c>
      <c r="D254" s="1">
        <v>2014</v>
      </c>
      <c r="E254" s="1" t="s">
        <v>104</v>
      </c>
      <c r="F254" s="1">
        <v>38.14</v>
      </c>
      <c r="G254" s="1">
        <v>0</v>
      </c>
      <c r="H254" s="1">
        <v>0</v>
      </c>
      <c r="I254" s="1">
        <v>0</v>
      </c>
      <c r="J254" s="1">
        <v>0</v>
      </c>
      <c r="K254" s="1">
        <f t="shared" si="3"/>
        <v>38.14</v>
      </c>
      <c r="L254" s="1" t="str">
        <f>_xlfn.XLOOKUP(A254,satellite_programs!A:A,satellite_programs!N:N)</f>
        <v>Operations</v>
      </c>
    </row>
    <row r="255" spans="1:12" x14ac:dyDescent="0.5">
      <c r="A255" s="1" t="s">
        <v>39</v>
      </c>
      <c r="B255" s="1" t="s">
        <v>32</v>
      </c>
      <c r="C255" s="1" t="s">
        <v>33</v>
      </c>
      <c r="D255" s="1">
        <v>2015</v>
      </c>
      <c r="E255" s="1" t="s">
        <v>104</v>
      </c>
      <c r="F255" s="1">
        <v>34.67</v>
      </c>
      <c r="G255" s="1">
        <v>0</v>
      </c>
      <c r="H255" s="1">
        <v>0</v>
      </c>
      <c r="I255" s="1">
        <v>0</v>
      </c>
      <c r="J255" s="1">
        <v>0</v>
      </c>
      <c r="K255" s="1">
        <f t="shared" si="3"/>
        <v>34.67</v>
      </c>
      <c r="L255" s="1" t="str">
        <f>_xlfn.XLOOKUP(A255,satellite_programs!A:A,satellite_programs!N:N)</f>
        <v>Operations</v>
      </c>
    </row>
    <row r="256" spans="1:12" x14ac:dyDescent="0.5">
      <c r="A256" s="1" t="s">
        <v>39</v>
      </c>
      <c r="B256" s="1" t="s">
        <v>32</v>
      </c>
      <c r="C256" s="1" t="s">
        <v>33</v>
      </c>
      <c r="D256" s="1">
        <v>2016</v>
      </c>
      <c r="E256" s="1" t="s">
        <v>104</v>
      </c>
      <c r="F256" s="1">
        <v>22.53</v>
      </c>
      <c r="G256" s="1">
        <v>36.61</v>
      </c>
      <c r="H256" s="1">
        <v>0</v>
      </c>
      <c r="I256" s="1">
        <v>0</v>
      </c>
      <c r="J256" s="1">
        <v>0</v>
      </c>
      <c r="K256" s="1">
        <f t="shared" si="3"/>
        <v>59.14</v>
      </c>
      <c r="L256" s="1" t="str">
        <f>_xlfn.XLOOKUP(A256,satellite_programs!A:A,satellite_programs!N:N)</f>
        <v>Operations</v>
      </c>
    </row>
    <row r="257" spans="1:12" x14ac:dyDescent="0.5">
      <c r="A257" s="1" t="s">
        <v>39</v>
      </c>
      <c r="B257" s="1" t="s">
        <v>32</v>
      </c>
      <c r="C257" s="1" t="s">
        <v>33</v>
      </c>
      <c r="D257" s="1">
        <v>2017</v>
      </c>
      <c r="E257" s="1" t="s">
        <v>104</v>
      </c>
      <c r="F257" s="1">
        <v>13.87</v>
      </c>
      <c r="G257" s="1">
        <v>29.95</v>
      </c>
      <c r="H257" s="1">
        <v>0</v>
      </c>
      <c r="I257" s="1">
        <v>0</v>
      </c>
      <c r="J257" s="1">
        <v>0</v>
      </c>
      <c r="K257" s="1">
        <f t="shared" si="3"/>
        <v>43.82</v>
      </c>
      <c r="L257" s="1" t="str">
        <f>_xlfn.XLOOKUP(A257,satellite_programs!A:A,satellite_programs!N:N)</f>
        <v>Operations</v>
      </c>
    </row>
    <row r="258" spans="1:12" x14ac:dyDescent="0.5">
      <c r="A258" s="1" t="s">
        <v>39</v>
      </c>
      <c r="B258" s="1" t="s">
        <v>32</v>
      </c>
      <c r="C258" s="1" t="s">
        <v>33</v>
      </c>
      <c r="D258" s="1">
        <v>2018</v>
      </c>
      <c r="E258" s="1" t="s">
        <v>28</v>
      </c>
      <c r="F258" s="1">
        <v>0</v>
      </c>
      <c r="G258" s="1">
        <v>0</v>
      </c>
      <c r="H258" s="1">
        <v>37.200000000000003</v>
      </c>
      <c r="I258" s="1">
        <v>21.24</v>
      </c>
      <c r="J258" s="1">
        <v>0</v>
      </c>
      <c r="K258" s="1">
        <f t="shared" ref="K258:K321" si="4">SUM(F258:J258)</f>
        <v>58.44</v>
      </c>
      <c r="L258" s="1" t="str">
        <f>_xlfn.XLOOKUP(A258,satellite_programs!A:A,satellite_programs!N:N)</f>
        <v>Operations</v>
      </c>
    </row>
    <row r="259" spans="1:12" x14ac:dyDescent="0.5">
      <c r="A259" s="1" t="s">
        <v>39</v>
      </c>
      <c r="B259" s="1" t="s">
        <v>32</v>
      </c>
      <c r="C259" s="1" t="s">
        <v>33</v>
      </c>
      <c r="D259" s="1">
        <v>2019</v>
      </c>
      <c r="E259" s="1" t="s">
        <v>28</v>
      </c>
      <c r="F259" s="1">
        <v>0</v>
      </c>
      <c r="G259" s="1">
        <v>0</v>
      </c>
      <c r="H259" s="1">
        <v>37.200000000000003</v>
      </c>
      <c r="I259" s="1">
        <v>21.88</v>
      </c>
      <c r="J259" s="1">
        <v>0</v>
      </c>
      <c r="K259" s="1">
        <f t="shared" si="4"/>
        <v>59.08</v>
      </c>
      <c r="L259" s="1" t="str">
        <f>_xlfn.XLOOKUP(A259,satellite_programs!A:A,satellite_programs!N:N)</f>
        <v>Operations</v>
      </c>
    </row>
    <row r="260" spans="1:12" x14ac:dyDescent="0.5">
      <c r="A260" s="1" t="s">
        <v>39</v>
      </c>
      <c r="B260" s="1" t="s">
        <v>32</v>
      </c>
      <c r="C260" s="1" t="s">
        <v>33</v>
      </c>
      <c r="D260" s="1">
        <v>2020</v>
      </c>
      <c r="E260" s="1" t="s">
        <v>28</v>
      </c>
      <c r="F260" s="1">
        <v>0</v>
      </c>
      <c r="G260" s="1">
        <v>0</v>
      </c>
      <c r="H260" s="1">
        <v>37.200000000000003</v>
      </c>
      <c r="I260" s="1">
        <v>22.51</v>
      </c>
      <c r="J260" s="1">
        <v>0</v>
      </c>
      <c r="K260" s="1">
        <f t="shared" si="4"/>
        <v>59.710000000000008</v>
      </c>
      <c r="L260" s="1" t="str">
        <f>_xlfn.XLOOKUP(A260,satellite_programs!A:A,satellite_programs!N:N)</f>
        <v>Operations</v>
      </c>
    </row>
    <row r="261" spans="1:12" x14ac:dyDescent="0.5">
      <c r="A261" s="1" t="s">
        <v>39</v>
      </c>
      <c r="B261" s="1" t="s">
        <v>32</v>
      </c>
      <c r="C261" s="1" t="s">
        <v>33</v>
      </c>
      <c r="D261" s="1">
        <v>2021</v>
      </c>
      <c r="E261" s="1" t="s">
        <v>28</v>
      </c>
      <c r="F261" s="1">
        <v>0</v>
      </c>
      <c r="G261" s="1">
        <v>0</v>
      </c>
      <c r="H261" s="1">
        <v>37.200000000000003</v>
      </c>
      <c r="I261" s="1">
        <v>23.15</v>
      </c>
      <c r="J261" s="1">
        <v>0</v>
      </c>
      <c r="K261" s="1">
        <f t="shared" si="4"/>
        <v>60.35</v>
      </c>
      <c r="L261" s="1" t="str">
        <f>_xlfn.XLOOKUP(A261,satellite_programs!A:A,satellite_programs!N:N)</f>
        <v>Operations</v>
      </c>
    </row>
    <row r="262" spans="1:12" x14ac:dyDescent="0.5">
      <c r="A262" s="1" t="s">
        <v>39</v>
      </c>
      <c r="B262" s="1" t="s">
        <v>32</v>
      </c>
      <c r="C262" s="1" t="s">
        <v>33</v>
      </c>
      <c r="D262" s="1">
        <v>2022</v>
      </c>
      <c r="E262" s="1" t="s">
        <v>28</v>
      </c>
      <c r="F262" s="1">
        <v>0</v>
      </c>
      <c r="G262" s="1">
        <v>0</v>
      </c>
      <c r="H262" s="1">
        <v>37.200000000000003</v>
      </c>
      <c r="I262" s="1">
        <v>23.79</v>
      </c>
      <c r="J262" s="1">
        <v>0</v>
      </c>
      <c r="K262" s="1">
        <f t="shared" si="4"/>
        <v>60.99</v>
      </c>
      <c r="L262" s="1" t="str">
        <f>_xlfn.XLOOKUP(A262,satellite_programs!A:A,satellite_programs!N:N)</f>
        <v>Operations</v>
      </c>
    </row>
    <row r="263" spans="1:12" x14ac:dyDescent="0.5">
      <c r="A263" s="1" t="s">
        <v>39</v>
      </c>
      <c r="B263" s="1" t="s">
        <v>32</v>
      </c>
      <c r="C263" s="1" t="s">
        <v>33</v>
      </c>
      <c r="D263" s="1">
        <v>2023</v>
      </c>
      <c r="E263" s="1" t="s">
        <v>28</v>
      </c>
      <c r="F263" s="1">
        <v>0</v>
      </c>
      <c r="G263" s="1">
        <v>0</v>
      </c>
      <c r="H263" s="1">
        <v>37.200000000000003</v>
      </c>
      <c r="I263" s="1">
        <v>24.43</v>
      </c>
      <c r="J263" s="1">
        <v>0</v>
      </c>
      <c r="K263" s="1">
        <f t="shared" si="4"/>
        <v>61.63</v>
      </c>
      <c r="L263" s="1" t="str">
        <f>_xlfn.XLOOKUP(A263,satellite_programs!A:A,satellite_programs!N:N)</f>
        <v>Operations</v>
      </c>
    </row>
    <row r="264" spans="1:12" x14ac:dyDescent="0.5">
      <c r="A264" s="1" t="s">
        <v>39</v>
      </c>
      <c r="B264" s="1" t="s">
        <v>32</v>
      </c>
      <c r="C264" s="1" t="s">
        <v>33</v>
      </c>
      <c r="D264" s="1">
        <v>2024</v>
      </c>
      <c r="E264" s="1" t="s">
        <v>28</v>
      </c>
      <c r="F264" s="1">
        <v>0</v>
      </c>
      <c r="G264" s="1">
        <v>0</v>
      </c>
      <c r="H264" s="1">
        <v>37.200000000000003</v>
      </c>
      <c r="I264" s="1">
        <v>25.06</v>
      </c>
      <c r="J264" s="1">
        <v>0</v>
      </c>
      <c r="K264" s="1">
        <f t="shared" si="4"/>
        <v>62.260000000000005</v>
      </c>
      <c r="L264" s="1" t="str">
        <f>_xlfn.XLOOKUP(A264,satellite_programs!A:A,satellite_programs!N:N)</f>
        <v>Operations</v>
      </c>
    </row>
    <row r="265" spans="1:12" x14ac:dyDescent="0.5">
      <c r="A265" s="1" t="s">
        <v>39</v>
      </c>
      <c r="B265" s="1" t="s">
        <v>32</v>
      </c>
      <c r="C265" s="1" t="s">
        <v>33</v>
      </c>
      <c r="D265" s="1">
        <v>2025</v>
      </c>
      <c r="E265" s="1" t="s">
        <v>28</v>
      </c>
      <c r="F265" s="1">
        <v>0</v>
      </c>
      <c r="G265" s="1">
        <v>0</v>
      </c>
      <c r="H265" s="1">
        <v>37.200000000000003</v>
      </c>
      <c r="I265" s="1">
        <v>25.7</v>
      </c>
      <c r="J265" s="1">
        <v>0</v>
      </c>
      <c r="K265" s="1">
        <f t="shared" si="4"/>
        <v>62.900000000000006</v>
      </c>
      <c r="L265" s="1" t="str">
        <f>_xlfn.XLOOKUP(A265,satellite_programs!A:A,satellite_programs!N:N)</f>
        <v>Operations</v>
      </c>
    </row>
    <row r="266" spans="1:12" x14ac:dyDescent="0.5">
      <c r="A266" s="1" t="s">
        <v>39</v>
      </c>
      <c r="B266" s="1" t="s">
        <v>32</v>
      </c>
      <c r="C266" s="1" t="s">
        <v>33</v>
      </c>
      <c r="D266" s="1">
        <v>2026</v>
      </c>
      <c r="E266" s="1" t="s">
        <v>28</v>
      </c>
      <c r="F266" s="1">
        <v>0</v>
      </c>
      <c r="G266" s="1">
        <v>0</v>
      </c>
      <c r="H266" s="1">
        <v>37.200000000000003</v>
      </c>
      <c r="I266" s="1">
        <v>26.34</v>
      </c>
      <c r="J266" s="1">
        <v>0</v>
      </c>
      <c r="K266" s="1">
        <f t="shared" si="4"/>
        <v>63.540000000000006</v>
      </c>
      <c r="L266" s="1" t="str">
        <f>_xlfn.XLOOKUP(A266,satellite_programs!A:A,satellite_programs!N:N)</f>
        <v>Operations</v>
      </c>
    </row>
    <row r="267" spans="1:12" x14ac:dyDescent="0.5">
      <c r="A267" s="1" t="s">
        <v>39</v>
      </c>
      <c r="B267" s="1" t="s">
        <v>32</v>
      </c>
      <c r="C267" s="1" t="s">
        <v>33</v>
      </c>
      <c r="D267" s="1">
        <v>2027</v>
      </c>
      <c r="E267" s="1" t="s">
        <v>28</v>
      </c>
      <c r="F267" s="1">
        <v>0</v>
      </c>
      <c r="G267" s="1">
        <v>0</v>
      </c>
      <c r="H267" s="1">
        <v>37.200000000000003</v>
      </c>
      <c r="I267" s="1">
        <v>26.97</v>
      </c>
      <c r="J267" s="1">
        <v>0</v>
      </c>
      <c r="K267" s="1">
        <f t="shared" si="4"/>
        <v>64.17</v>
      </c>
      <c r="L267" s="1" t="str">
        <f>_xlfn.XLOOKUP(A267,satellite_programs!A:A,satellite_programs!N:N)</f>
        <v>Operations</v>
      </c>
    </row>
    <row r="268" spans="1:12" x14ac:dyDescent="0.5">
      <c r="A268" s="1" t="s">
        <v>39</v>
      </c>
      <c r="B268" s="1" t="s">
        <v>32</v>
      </c>
      <c r="C268" s="1" t="s">
        <v>33</v>
      </c>
      <c r="D268" s="1">
        <v>2029</v>
      </c>
      <c r="E268" s="1" t="s">
        <v>103</v>
      </c>
      <c r="F268" s="1">
        <v>0</v>
      </c>
      <c r="G268" s="1">
        <v>0</v>
      </c>
      <c r="H268" s="1">
        <v>0</v>
      </c>
      <c r="I268" s="1">
        <v>0</v>
      </c>
      <c r="J268" s="1">
        <v>10.4</v>
      </c>
      <c r="K268" s="1">
        <f t="shared" si="4"/>
        <v>10.4</v>
      </c>
      <c r="L268" s="1" t="str">
        <f>_xlfn.XLOOKUP(A268,satellite_programs!A:A,satellite_programs!N:N)</f>
        <v>Operations</v>
      </c>
    </row>
    <row r="269" spans="1:12" x14ac:dyDescent="0.5">
      <c r="A269" s="1" t="s">
        <v>40</v>
      </c>
      <c r="B269" s="1" t="s">
        <v>32</v>
      </c>
      <c r="C269" s="1" t="s">
        <v>33</v>
      </c>
      <c r="D269" s="1">
        <v>2014</v>
      </c>
      <c r="E269" s="1" t="s">
        <v>104</v>
      </c>
      <c r="F269" s="1">
        <v>8.75</v>
      </c>
      <c r="G269" s="1">
        <v>0</v>
      </c>
      <c r="H269" s="1">
        <v>0</v>
      </c>
      <c r="I269" s="1">
        <v>0</v>
      </c>
      <c r="J269" s="1">
        <v>0</v>
      </c>
      <c r="K269" s="1">
        <f t="shared" si="4"/>
        <v>8.75</v>
      </c>
      <c r="L269" s="1" t="str">
        <f>_xlfn.XLOOKUP(A269,satellite_programs!A:A,satellite_programs!N:N)</f>
        <v>Operations</v>
      </c>
    </row>
    <row r="270" spans="1:12" x14ac:dyDescent="0.5">
      <c r="A270" s="1" t="s">
        <v>40</v>
      </c>
      <c r="B270" s="1" t="s">
        <v>32</v>
      </c>
      <c r="C270" s="1" t="s">
        <v>33</v>
      </c>
      <c r="D270" s="1">
        <v>2015</v>
      </c>
      <c r="E270" s="1" t="s">
        <v>104</v>
      </c>
      <c r="F270" s="1">
        <v>17.5</v>
      </c>
      <c r="G270" s="1">
        <v>0</v>
      </c>
      <c r="H270" s="1">
        <v>0</v>
      </c>
      <c r="I270" s="1">
        <v>0</v>
      </c>
      <c r="J270" s="1">
        <v>0</v>
      </c>
      <c r="K270" s="1">
        <f t="shared" si="4"/>
        <v>17.5</v>
      </c>
      <c r="L270" s="1" t="str">
        <f>_xlfn.XLOOKUP(A270,satellite_programs!A:A,satellite_programs!N:N)</f>
        <v>Operations</v>
      </c>
    </row>
    <row r="271" spans="1:12" x14ac:dyDescent="0.5">
      <c r="A271" s="1" t="s">
        <v>40</v>
      </c>
      <c r="B271" s="1" t="s">
        <v>32</v>
      </c>
      <c r="C271" s="1" t="s">
        <v>33</v>
      </c>
      <c r="D271" s="1">
        <v>2016</v>
      </c>
      <c r="E271" s="1" t="s">
        <v>104</v>
      </c>
      <c r="F271" s="1">
        <v>31.51</v>
      </c>
      <c r="G271" s="1">
        <v>0</v>
      </c>
      <c r="H271" s="1">
        <v>0</v>
      </c>
      <c r="I271" s="1">
        <v>0</v>
      </c>
      <c r="J271" s="1">
        <v>0</v>
      </c>
      <c r="K271" s="1">
        <f t="shared" si="4"/>
        <v>31.51</v>
      </c>
      <c r="L271" s="1" t="str">
        <f>_xlfn.XLOOKUP(A271,satellite_programs!A:A,satellite_programs!N:N)</f>
        <v>Operations</v>
      </c>
    </row>
    <row r="272" spans="1:12" x14ac:dyDescent="0.5">
      <c r="A272" s="1" t="s">
        <v>40</v>
      </c>
      <c r="B272" s="1" t="s">
        <v>32</v>
      </c>
      <c r="C272" s="1" t="s">
        <v>33</v>
      </c>
      <c r="D272" s="1">
        <v>2017</v>
      </c>
      <c r="E272" s="1" t="s">
        <v>104</v>
      </c>
      <c r="F272" s="1">
        <v>38.51</v>
      </c>
      <c r="G272" s="1">
        <v>0</v>
      </c>
      <c r="H272" s="1">
        <v>0</v>
      </c>
      <c r="I272" s="1">
        <v>0</v>
      </c>
      <c r="J272" s="1">
        <v>0</v>
      </c>
      <c r="K272" s="1">
        <f t="shared" si="4"/>
        <v>38.51</v>
      </c>
      <c r="L272" s="1" t="str">
        <f>_xlfn.XLOOKUP(A272,satellite_programs!A:A,satellite_programs!N:N)</f>
        <v>Operations</v>
      </c>
    </row>
    <row r="273" spans="1:12" x14ac:dyDescent="0.5">
      <c r="A273" s="1" t="s">
        <v>40</v>
      </c>
      <c r="B273" s="1" t="s">
        <v>32</v>
      </c>
      <c r="C273" s="1" t="s">
        <v>33</v>
      </c>
      <c r="D273" s="1">
        <v>2018</v>
      </c>
      <c r="E273" s="1" t="s">
        <v>104</v>
      </c>
      <c r="F273" s="1">
        <v>35.01</v>
      </c>
      <c r="G273" s="1">
        <v>0</v>
      </c>
      <c r="H273" s="1">
        <v>0</v>
      </c>
      <c r="I273" s="1">
        <v>0</v>
      </c>
      <c r="J273" s="1">
        <v>0</v>
      </c>
      <c r="K273" s="1">
        <f t="shared" si="4"/>
        <v>35.01</v>
      </c>
      <c r="L273" s="1" t="str">
        <f>_xlfn.XLOOKUP(A273,satellite_programs!A:A,satellite_programs!N:N)</f>
        <v>Operations</v>
      </c>
    </row>
    <row r="274" spans="1:12" x14ac:dyDescent="0.5">
      <c r="A274" s="1" t="s">
        <v>40</v>
      </c>
      <c r="B274" s="1" t="s">
        <v>32</v>
      </c>
      <c r="C274" s="1" t="s">
        <v>33</v>
      </c>
      <c r="D274" s="1">
        <v>2019</v>
      </c>
      <c r="E274" s="1" t="s">
        <v>104</v>
      </c>
      <c r="F274" s="1">
        <v>22.76</v>
      </c>
      <c r="G274" s="1">
        <v>36.97</v>
      </c>
      <c r="H274" s="1">
        <v>0</v>
      </c>
      <c r="I274" s="1">
        <v>0</v>
      </c>
      <c r="J274" s="1">
        <v>0</v>
      </c>
      <c r="K274" s="1">
        <f t="shared" si="4"/>
        <v>59.730000000000004</v>
      </c>
      <c r="L274" s="1" t="str">
        <f>_xlfn.XLOOKUP(A274,satellite_programs!A:A,satellite_programs!N:N)</f>
        <v>Operations</v>
      </c>
    </row>
    <row r="275" spans="1:12" x14ac:dyDescent="0.5">
      <c r="A275" s="1" t="s">
        <v>40</v>
      </c>
      <c r="B275" s="1" t="s">
        <v>32</v>
      </c>
      <c r="C275" s="1" t="s">
        <v>33</v>
      </c>
      <c r="D275" s="1">
        <v>2020</v>
      </c>
      <c r="E275" s="1" t="s">
        <v>104</v>
      </c>
      <c r="F275" s="1">
        <v>14</v>
      </c>
      <c r="G275" s="1">
        <v>30.25</v>
      </c>
      <c r="H275" s="1">
        <v>0</v>
      </c>
      <c r="I275" s="1">
        <v>0</v>
      </c>
      <c r="J275" s="1">
        <v>0</v>
      </c>
      <c r="K275" s="1">
        <f t="shared" si="4"/>
        <v>44.25</v>
      </c>
      <c r="L275" s="1" t="str">
        <f>_xlfn.XLOOKUP(A275,satellite_programs!A:A,satellite_programs!N:N)</f>
        <v>Operations</v>
      </c>
    </row>
    <row r="276" spans="1:12" x14ac:dyDescent="0.5">
      <c r="A276" s="1" t="s">
        <v>40</v>
      </c>
      <c r="B276" s="1" t="s">
        <v>32</v>
      </c>
      <c r="C276" s="1" t="s">
        <v>33</v>
      </c>
      <c r="D276" s="1">
        <v>2021</v>
      </c>
      <c r="E276" s="1" t="s">
        <v>28</v>
      </c>
      <c r="F276" s="1">
        <v>0</v>
      </c>
      <c r="G276" s="1">
        <v>0</v>
      </c>
      <c r="H276" s="1">
        <v>37.92</v>
      </c>
      <c r="I276" s="1">
        <v>21.72</v>
      </c>
      <c r="J276" s="1">
        <v>0</v>
      </c>
      <c r="K276" s="1">
        <f t="shared" si="4"/>
        <v>59.64</v>
      </c>
      <c r="L276" s="1" t="str">
        <f>_xlfn.XLOOKUP(A276,satellite_programs!A:A,satellite_programs!N:N)</f>
        <v>Operations</v>
      </c>
    </row>
    <row r="277" spans="1:12" x14ac:dyDescent="0.5">
      <c r="A277" s="1" t="s">
        <v>40</v>
      </c>
      <c r="B277" s="1" t="s">
        <v>32</v>
      </c>
      <c r="C277" s="1" t="s">
        <v>33</v>
      </c>
      <c r="D277" s="1">
        <v>2022</v>
      </c>
      <c r="E277" s="1" t="s">
        <v>28</v>
      </c>
      <c r="F277" s="1">
        <v>0</v>
      </c>
      <c r="G277" s="1">
        <v>0</v>
      </c>
      <c r="H277" s="1">
        <v>37.92</v>
      </c>
      <c r="I277" s="1">
        <v>22.37</v>
      </c>
      <c r="J277" s="1">
        <v>0</v>
      </c>
      <c r="K277" s="1">
        <f t="shared" si="4"/>
        <v>60.290000000000006</v>
      </c>
      <c r="L277" s="1" t="str">
        <f>_xlfn.XLOOKUP(A277,satellite_programs!A:A,satellite_programs!N:N)</f>
        <v>Operations</v>
      </c>
    </row>
    <row r="278" spans="1:12" x14ac:dyDescent="0.5">
      <c r="A278" s="1" t="s">
        <v>40</v>
      </c>
      <c r="B278" s="1" t="s">
        <v>32</v>
      </c>
      <c r="C278" s="1" t="s">
        <v>33</v>
      </c>
      <c r="D278" s="1">
        <v>2023</v>
      </c>
      <c r="E278" s="1" t="s">
        <v>28</v>
      </c>
      <c r="F278" s="1">
        <v>0</v>
      </c>
      <c r="G278" s="1">
        <v>0</v>
      </c>
      <c r="H278" s="1">
        <v>37.92</v>
      </c>
      <c r="I278" s="1">
        <v>23.02</v>
      </c>
      <c r="J278" s="1">
        <v>0</v>
      </c>
      <c r="K278" s="1">
        <f t="shared" si="4"/>
        <v>60.94</v>
      </c>
      <c r="L278" s="1" t="str">
        <f>_xlfn.XLOOKUP(A278,satellite_programs!A:A,satellite_programs!N:N)</f>
        <v>Operations</v>
      </c>
    </row>
    <row r="279" spans="1:12" x14ac:dyDescent="0.5">
      <c r="A279" s="1" t="s">
        <v>40</v>
      </c>
      <c r="B279" s="1" t="s">
        <v>32</v>
      </c>
      <c r="C279" s="1" t="s">
        <v>33</v>
      </c>
      <c r="D279" s="1">
        <v>2024</v>
      </c>
      <c r="E279" s="1" t="s">
        <v>28</v>
      </c>
      <c r="F279" s="1">
        <v>0</v>
      </c>
      <c r="G279" s="1">
        <v>0</v>
      </c>
      <c r="H279" s="1">
        <v>37.92</v>
      </c>
      <c r="I279" s="1">
        <v>23.67</v>
      </c>
      <c r="J279" s="1">
        <v>0</v>
      </c>
      <c r="K279" s="1">
        <f t="shared" si="4"/>
        <v>61.59</v>
      </c>
      <c r="L279" s="1" t="str">
        <f>_xlfn.XLOOKUP(A279,satellite_programs!A:A,satellite_programs!N:N)</f>
        <v>Operations</v>
      </c>
    </row>
    <row r="280" spans="1:12" x14ac:dyDescent="0.5">
      <c r="A280" s="1" t="s">
        <v>40</v>
      </c>
      <c r="B280" s="1" t="s">
        <v>32</v>
      </c>
      <c r="C280" s="1" t="s">
        <v>33</v>
      </c>
      <c r="D280" s="1">
        <v>2025</v>
      </c>
      <c r="E280" s="1" t="s">
        <v>28</v>
      </c>
      <c r="F280" s="1">
        <v>0</v>
      </c>
      <c r="G280" s="1">
        <v>0</v>
      </c>
      <c r="H280" s="1">
        <v>37.92</v>
      </c>
      <c r="I280" s="1">
        <v>24.33</v>
      </c>
      <c r="J280" s="1">
        <v>0</v>
      </c>
      <c r="K280" s="1">
        <f t="shared" si="4"/>
        <v>62.25</v>
      </c>
      <c r="L280" s="1" t="str">
        <f>_xlfn.XLOOKUP(A280,satellite_programs!A:A,satellite_programs!N:N)</f>
        <v>Operations</v>
      </c>
    </row>
    <row r="281" spans="1:12" x14ac:dyDescent="0.5">
      <c r="A281" s="1" t="s">
        <v>40</v>
      </c>
      <c r="B281" s="1" t="s">
        <v>32</v>
      </c>
      <c r="C281" s="1" t="s">
        <v>33</v>
      </c>
      <c r="D281" s="1">
        <v>2026</v>
      </c>
      <c r="E281" s="1" t="s">
        <v>28</v>
      </c>
      <c r="F281" s="1">
        <v>0</v>
      </c>
      <c r="G281" s="1">
        <v>0</v>
      </c>
      <c r="H281" s="1">
        <v>37.92</v>
      </c>
      <c r="I281" s="1">
        <v>24.98</v>
      </c>
      <c r="J281" s="1">
        <v>0</v>
      </c>
      <c r="K281" s="1">
        <f t="shared" si="4"/>
        <v>62.900000000000006</v>
      </c>
      <c r="L281" s="1" t="str">
        <f>_xlfn.XLOOKUP(A281,satellite_programs!A:A,satellite_programs!N:N)</f>
        <v>Operations</v>
      </c>
    </row>
    <row r="282" spans="1:12" x14ac:dyDescent="0.5">
      <c r="A282" s="1" t="s">
        <v>40</v>
      </c>
      <c r="B282" s="1" t="s">
        <v>32</v>
      </c>
      <c r="C282" s="1" t="s">
        <v>33</v>
      </c>
      <c r="D282" s="1">
        <v>2027</v>
      </c>
      <c r="E282" s="1" t="s">
        <v>28</v>
      </c>
      <c r="F282" s="1">
        <v>0</v>
      </c>
      <c r="G282" s="1">
        <v>0</v>
      </c>
      <c r="H282" s="1">
        <v>37.92</v>
      </c>
      <c r="I282" s="1">
        <v>25.63</v>
      </c>
      <c r="J282" s="1">
        <v>0</v>
      </c>
      <c r="K282" s="1">
        <f t="shared" si="4"/>
        <v>63.55</v>
      </c>
      <c r="L282" s="1" t="str">
        <f>_xlfn.XLOOKUP(A282,satellite_programs!A:A,satellite_programs!N:N)</f>
        <v>Operations</v>
      </c>
    </row>
    <row r="283" spans="1:12" x14ac:dyDescent="0.5">
      <c r="A283" s="1" t="s">
        <v>40</v>
      </c>
      <c r="B283" s="1" t="s">
        <v>32</v>
      </c>
      <c r="C283" s="1" t="s">
        <v>33</v>
      </c>
      <c r="D283" s="1">
        <v>2028</v>
      </c>
      <c r="E283" s="1" t="s">
        <v>28</v>
      </c>
      <c r="F283" s="1">
        <v>0</v>
      </c>
      <c r="G283" s="1">
        <v>0</v>
      </c>
      <c r="H283" s="1">
        <v>37.92</v>
      </c>
      <c r="I283" s="1">
        <v>26.28</v>
      </c>
      <c r="J283" s="1">
        <v>0</v>
      </c>
      <c r="K283" s="1">
        <f t="shared" si="4"/>
        <v>64.2</v>
      </c>
      <c r="L283" s="1" t="str">
        <f>_xlfn.XLOOKUP(A283,satellite_programs!A:A,satellite_programs!N:N)</f>
        <v>Operations</v>
      </c>
    </row>
    <row r="284" spans="1:12" x14ac:dyDescent="0.5">
      <c r="A284" s="1" t="s">
        <v>40</v>
      </c>
      <c r="B284" s="1" t="s">
        <v>32</v>
      </c>
      <c r="C284" s="1" t="s">
        <v>33</v>
      </c>
      <c r="D284" s="1">
        <v>2029</v>
      </c>
      <c r="E284" s="1" t="s">
        <v>28</v>
      </c>
      <c r="F284" s="1">
        <v>0</v>
      </c>
      <c r="G284" s="1">
        <v>0</v>
      </c>
      <c r="H284" s="1">
        <v>37.92</v>
      </c>
      <c r="I284" s="1">
        <v>26.93</v>
      </c>
      <c r="J284" s="1">
        <v>0</v>
      </c>
      <c r="K284" s="1">
        <f t="shared" si="4"/>
        <v>64.849999999999994</v>
      </c>
      <c r="L284" s="1" t="str">
        <f>_xlfn.XLOOKUP(A284,satellite_programs!A:A,satellite_programs!N:N)</f>
        <v>Operations</v>
      </c>
    </row>
    <row r="285" spans="1:12" x14ac:dyDescent="0.5">
      <c r="A285" s="1" t="s">
        <v>40</v>
      </c>
      <c r="B285" s="1" t="s">
        <v>32</v>
      </c>
      <c r="C285" s="1" t="s">
        <v>33</v>
      </c>
      <c r="D285" s="1">
        <v>2030</v>
      </c>
      <c r="E285" s="1" t="s">
        <v>28</v>
      </c>
      <c r="F285" s="1">
        <v>0</v>
      </c>
      <c r="G285" s="1">
        <v>0</v>
      </c>
      <c r="H285" s="1">
        <v>37.92</v>
      </c>
      <c r="I285" s="1">
        <v>27.58</v>
      </c>
      <c r="J285" s="1">
        <v>0</v>
      </c>
      <c r="K285" s="1">
        <f t="shared" si="4"/>
        <v>65.5</v>
      </c>
      <c r="L285" s="1" t="str">
        <f>_xlfn.XLOOKUP(A285,satellite_programs!A:A,satellite_programs!N:N)</f>
        <v>Operations</v>
      </c>
    </row>
    <row r="286" spans="1:12" x14ac:dyDescent="0.5">
      <c r="A286" s="1" t="s">
        <v>40</v>
      </c>
      <c r="B286" s="1" t="s">
        <v>32</v>
      </c>
      <c r="C286" s="1" t="s">
        <v>33</v>
      </c>
      <c r="D286" s="1">
        <v>2031</v>
      </c>
      <c r="E286" s="1" t="s">
        <v>28</v>
      </c>
      <c r="F286" s="1">
        <v>0</v>
      </c>
      <c r="G286" s="1">
        <v>0</v>
      </c>
      <c r="H286" s="1">
        <v>37.92</v>
      </c>
      <c r="I286" s="1">
        <v>28.24</v>
      </c>
      <c r="J286" s="1">
        <v>0</v>
      </c>
      <c r="K286" s="1">
        <f t="shared" si="4"/>
        <v>66.16</v>
      </c>
      <c r="L286" s="1" t="str">
        <f>_xlfn.XLOOKUP(A286,satellite_programs!A:A,satellite_programs!N:N)</f>
        <v>Operations</v>
      </c>
    </row>
    <row r="287" spans="1:12" x14ac:dyDescent="0.5">
      <c r="A287" s="1" t="s">
        <v>40</v>
      </c>
      <c r="B287" s="1" t="s">
        <v>32</v>
      </c>
      <c r="C287" s="1" t="s">
        <v>33</v>
      </c>
      <c r="D287" s="1">
        <v>2032</v>
      </c>
      <c r="E287" s="1" t="s">
        <v>28</v>
      </c>
      <c r="F287" s="1">
        <v>0</v>
      </c>
      <c r="G287" s="1">
        <v>0</v>
      </c>
      <c r="H287" s="1">
        <v>37.92</v>
      </c>
      <c r="I287" s="1">
        <v>28.89</v>
      </c>
      <c r="J287" s="1">
        <v>0</v>
      </c>
      <c r="K287" s="1">
        <f t="shared" si="4"/>
        <v>66.81</v>
      </c>
      <c r="L287" s="1" t="str">
        <f>_xlfn.XLOOKUP(A287,satellite_programs!A:A,satellite_programs!N:N)</f>
        <v>Operations</v>
      </c>
    </row>
    <row r="288" spans="1:12" x14ac:dyDescent="0.5">
      <c r="A288" s="1" t="s">
        <v>40</v>
      </c>
      <c r="B288" s="1" t="s">
        <v>32</v>
      </c>
      <c r="C288" s="1" t="s">
        <v>33</v>
      </c>
      <c r="D288" s="1">
        <v>2034</v>
      </c>
      <c r="E288" s="1" t="s">
        <v>103</v>
      </c>
      <c r="F288" s="1">
        <v>0</v>
      </c>
      <c r="G288" s="1">
        <v>0</v>
      </c>
      <c r="H288" s="1">
        <v>0</v>
      </c>
      <c r="I288" s="1">
        <v>0</v>
      </c>
      <c r="J288" s="1">
        <v>10.76</v>
      </c>
      <c r="K288" s="1">
        <f t="shared" si="4"/>
        <v>10.76</v>
      </c>
      <c r="L288" s="1" t="str">
        <f>_xlfn.XLOOKUP(A288,satellite_programs!A:A,satellite_programs!N:N)</f>
        <v>Operations</v>
      </c>
    </row>
    <row r="289" spans="1:12" x14ac:dyDescent="0.5">
      <c r="A289" s="1" t="s">
        <v>41</v>
      </c>
      <c r="B289" s="1" t="s">
        <v>32</v>
      </c>
      <c r="C289" s="1" t="s">
        <v>33</v>
      </c>
      <c r="D289" s="1">
        <v>2017</v>
      </c>
      <c r="E289" s="1" t="s">
        <v>104</v>
      </c>
      <c r="F289" s="1">
        <v>9.5399999999999991</v>
      </c>
      <c r="G289" s="1">
        <v>0</v>
      </c>
      <c r="H289" s="1">
        <v>0</v>
      </c>
      <c r="I289" s="1">
        <v>0</v>
      </c>
      <c r="J289" s="1">
        <v>0</v>
      </c>
      <c r="K289" s="1">
        <f t="shared" si="4"/>
        <v>9.5399999999999991</v>
      </c>
      <c r="L289" s="1" t="str">
        <f>_xlfn.XLOOKUP(A289,satellite_programs!A:A,satellite_programs!N:N)</f>
        <v>Operations</v>
      </c>
    </row>
    <row r="290" spans="1:12" x14ac:dyDescent="0.5">
      <c r="A290" s="1" t="s">
        <v>41</v>
      </c>
      <c r="B290" s="1" t="s">
        <v>32</v>
      </c>
      <c r="C290" s="1" t="s">
        <v>33</v>
      </c>
      <c r="D290" s="1">
        <v>2018</v>
      </c>
      <c r="E290" s="1" t="s">
        <v>104</v>
      </c>
      <c r="F290" s="1">
        <v>19.079999999999998</v>
      </c>
      <c r="G290" s="1">
        <v>0</v>
      </c>
      <c r="H290" s="1">
        <v>0</v>
      </c>
      <c r="I290" s="1">
        <v>0</v>
      </c>
      <c r="J290" s="1">
        <v>0</v>
      </c>
      <c r="K290" s="1">
        <f t="shared" si="4"/>
        <v>19.079999999999998</v>
      </c>
      <c r="L290" s="1" t="str">
        <f>_xlfn.XLOOKUP(A290,satellite_programs!A:A,satellite_programs!N:N)</f>
        <v>Operations</v>
      </c>
    </row>
    <row r="291" spans="1:12" x14ac:dyDescent="0.5">
      <c r="A291" s="1" t="s">
        <v>41</v>
      </c>
      <c r="B291" s="1" t="s">
        <v>32</v>
      </c>
      <c r="C291" s="1" t="s">
        <v>33</v>
      </c>
      <c r="D291" s="1">
        <v>2019</v>
      </c>
      <c r="E291" s="1" t="s">
        <v>104</v>
      </c>
      <c r="F291" s="1">
        <v>34.35</v>
      </c>
      <c r="G291" s="1">
        <v>0</v>
      </c>
      <c r="H291" s="1">
        <v>0</v>
      </c>
      <c r="I291" s="1">
        <v>0</v>
      </c>
      <c r="J291" s="1">
        <v>0</v>
      </c>
      <c r="K291" s="1">
        <f t="shared" si="4"/>
        <v>34.35</v>
      </c>
      <c r="L291" s="1" t="str">
        <f>_xlfn.XLOOKUP(A291,satellite_programs!A:A,satellite_programs!N:N)</f>
        <v>Operations</v>
      </c>
    </row>
    <row r="292" spans="1:12" x14ac:dyDescent="0.5">
      <c r="A292" s="1" t="s">
        <v>41</v>
      </c>
      <c r="B292" s="1" t="s">
        <v>32</v>
      </c>
      <c r="C292" s="1" t="s">
        <v>33</v>
      </c>
      <c r="D292" s="1">
        <v>2020</v>
      </c>
      <c r="E292" s="1" t="s">
        <v>104</v>
      </c>
      <c r="F292" s="1">
        <v>41.98</v>
      </c>
      <c r="G292" s="1">
        <v>0</v>
      </c>
      <c r="H292" s="1">
        <v>0</v>
      </c>
      <c r="I292" s="1">
        <v>0</v>
      </c>
      <c r="J292" s="1">
        <v>0</v>
      </c>
      <c r="K292" s="1">
        <f t="shared" si="4"/>
        <v>41.98</v>
      </c>
      <c r="L292" s="1" t="str">
        <f>_xlfn.XLOOKUP(A292,satellite_programs!A:A,satellite_programs!N:N)</f>
        <v>Operations</v>
      </c>
    </row>
    <row r="293" spans="1:12" x14ac:dyDescent="0.5">
      <c r="A293" s="1" t="s">
        <v>41</v>
      </c>
      <c r="B293" s="1" t="s">
        <v>32</v>
      </c>
      <c r="C293" s="1" t="s">
        <v>33</v>
      </c>
      <c r="D293" s="1">
        <v>2021</v>
      </c>
      <c r="E293" s="1" t="s">
        <v>104</v>
      </c>
      <c r="F293" s="1">
        <v>38.17</v>
      </c>
      <c r="G293" s="1">
        <v>0</v>
      </c>
      <c r="H293" s="1">
        <v>0</v>
      </c>
      <c r="I293" s="1">
        <v>0</v>
      </c>
      <c r="J293" s="1">
        <v>0</v>
      </c>
      <c r="K293" s="1">
        <f t="shared" si="4"/>
        <v>38.17</v>
      </c>
      <c r="L293" s="1" t="str">
        <f>_xlfn.XLOOKUP(A293,satellite_programs!A:A,satellite_programs!N:N)</f>
        <v>Operations</v>
      </c>
    </row>
    <row r="294" spans="1:12" x14ac:dyDescent="0.5">
      <c r="A294" s="1" t="s">
        <v>41</v>
      </c>
      <c r="B294" s="1" t="s">
        <v>32</v>
      </c>
      <c r="C294" s="1" t="s">
        <v>33</v>
      </c>
      <c r="D294" s="1">
        <v>2022</v>
      </c>
      <c r="E294" s="1" t="s">
        <v>104</v>
      </c>
      <c r="F294" s="1">
        <v>24.81</v>
      </c>
      <c r="G294" s="1">
        <v>40.299999999999997</v>
      </c>
      <c r="H294" s="1">
        <v>0</v>
      </c>
      <c r="I294" s="1">
        <v>0</v>
      </c>
      <c r="J294" s="1">
        <v>0</v>
      </c>
      <c r="K294" s="1">
        <f t="shared" si="4"/>
        <v>65.11</v>
      </c>
      <c r="L294" s="1" t="str">
        <f>_xlfn.XLOOKUP(A294,satellite_programs!A:A,satellite_programs!N:N)</f>
        <v>Operations</v>
      </c>
    </row>
    <row r="295" spans="1:12" x14ac:dyDescent="0.5">
      <c r="A295" s="1" t="s">
        <v>41</v>
      </c>
      <c r="B295" s="1" t="s">
        <v>32</v>
      </c>
      <c r="C295" s="1" t="s">
        <v>33</v>
      </c>
      <c r="D295" s="1">
        <v>2023</v>
      </c>
      <c r="E295" s="1" t="s">
        <v>104</v>
      </c>
      <c r="F295" s="1">
        <v>15.27</v>
      </c>
      <c r="G295" s="1">
        <v>32.979999999999997</v>
      </c>
      <c r="H295" s="1">
        <v>0</v>
      </c>
      <c r="I295" s="1">
        <v>0</v>
      </c>
      <c r="J295" s="1">
        <v>0</v>
      </c>
      <c r="K295" s="1">
        <f t="shared" si="4"/>
        <v>48.25</v>
      </c>
      <c r="L295" s="1" t="str">
        <f>_xlfn.XLOOKUP(A295,satellite_programs!A:A,satellite_programs!N:N)</f>
        <v>Operations</v>
      </c>
    </row>
    <row r="296" spans="1:12" x14ac:dyDescent="0.5">
      <c r="A296" s="1" t="s">
        <v>41</v>
      </c>
      <c r="B296" s="1" t="s">
        <v>32</v>
      </c>
      <c r="C296" s="1" t="s">
        <v>33</v>
      </c>
      <c r="D296" s="1">
        <v>2024</v>
      </c>
      <c r="E296" s="1" t="s">
        <v>28</v>
      </c>
      <c r="F296" s="1">
        <v>0</v>
      </c>
      <c r="G296" s="1">
        <v>0</v>
      </c>
      <c r="H296" s="1">
        <v>40.28</v>
      </c>
      <c r="I296" s="1">
        <v>22.2</v>
      </c>
      <c r="J296" s="1">
        <v>0</v>
      </c>
      <c r="K296" s="1">
        <f t="shared" si="4"/>
        <v>62.480000000000004</v>
      </c>
      <c r="L296" s="1" t="str">
        <f>_xlfn.XLOOKUP(A296,satellite_programs!A:A,satellite_programs!N:N)</f>
        <v>Operations</v>
      </c>
    </row>
    <row r="297" spans="1:12" x14ac:dyDescent="0.5">
      <c r="A297" s="1" t="s">
        <v>41</v>
      </c>
      <c r="B297" s="1" t="s">
        <v>32</v>
      </c>
      <c r="C297" s="1" t="s">
        <v>33</v>
      </c>
      <c r="D297" s="1">
        <v>2025</v>
      </c>
      <c r="E297" s="1" t="s">
        <v>28</v>
      </c>
      <c r="F297" s="1">
        <v>0</v>
      </c>
      <c r="G297" s="1">
        <v>0</v>
      </c>
      <c r="H297" s="1">
        <v>40.28</v>
      </c>
      <c r="I297" s="1">
        <v>22.87</v>
      </c>
      <c r="J297" s="1">
        <v>0</v>
      </c>
      <c r="K297" s="1">
        <f t="shared" si="4"/>
        <v>63.150000000000006</v>
      </c>
      <c r="L297" s="1" t="str">
        <f>_xlfn.XLOOKUP(A297,satellite_programs!A:A,satellite_programs!N:N)</f>
        <v>Operations</v>
      </c>
    </row>
    <row r="298" spans="1:12" x14ac:dyDescent="0.5">
      <c r="A298" s="1" t="s">
        <v>41</v>
      </c>
      <c r="B298" s="1" t="s">
        <v>32</v>
      </c>
      <c r="C298" s="1" t="s">
        <v>33</v>
      </c>
      <c r="D298" s="1">
        <v>2026</v>
      </c>
      <c r="E298" s="1" t="s">
        <v>28</v>
      </c>
      <c r="F298" s="1">
        <v>0</v>
      </c>
      <c r="G298" s="1">
        <v>0</v>
      </c>
      <c r="H298" s="1">
        <v>40.28</v>
      </c>
      <c r="I298" s="1">
        <v>23.53</v>
      </c>
      <c r="J298" s="1">
        <v>0</v>
      </c>
      <c r="K298" s="1">
        <f t="shared" si="4"/>
        <v>63.81</v>
      </c>
      <c r="L298" s="1" t="str">
        <f>_xlfn.XLOOKUP(A298,satellite_programs!A:A,satellite_programs!N:N)</f>
        <v>Operations</v>
      </c>
    </row>
    <row r="299" spans="1:12" x14ac:dyDescent="0.5">
      <c r="A299" s="1" t="s">
        <v>41</v>
      </c>
      <c r="B299" s="1" t="s">
        <v>32</v>
      </c>
      <c r="C299" s="1" t="s">
        <v>33</v>
      </c>
      <c r="D299" s="1">
        <v>2027</v>
      </c>
      <c r="E299" s="1" t="s">
        <v>28</v>
      </c>
      <c r="F299" s="1">
        <v>0</v>
      </c>
      <c r="G299" s="1">
        <v>0</v>
      </c>
      <c r="H299" s="1">
        <v>40.28</v>
      </c>
      <c r="I299" s="1">
        <v>24.2</v>
      </c>
      <c r="J299" s="1">
        <v>0</v>
      </c>
      <c r="K299" s="1">
        <f t="shared" si="4"/>
        <v>64.48</v>
      </c>
      <c r="L299" s="1" t="str">
        <f>_xlfn.XLOOKUP(A299,satellite_programs!A:A,satellite_programs!N:N)</f>
        <v>Operations</v>
      </c>
    </row>
    <row r="300" spans="1:12" x14ac:dyDescent="0.5">
      <c r="A300" s="1" t="s">
        <v>41</v>
      </c>
      <c r="B300" s="1" t="s">
        <v>32</v>
      </c>
      <c r="C300" s="1" t="s">
        <v>33</v>
      </c>
      <c r="D300" s="1">
        <v>2028</v>
      </c>
      <c r="E300" s="1" t="s">
        <v>28</v>
      </c>
      <c r="F300" s="1">
        <v>0</v>
      </c>
      <c r="G300" s="1">
        <v>0</v>
      </c>
      <c r="H300" s="1">
        <v>40.28</v>
      </c>
      <c r="I300" s="1">
        <v>24.86</v>
      </c>
      <c r="J300" s="1">
        <v>0</v>
      </c>
      <c r="K300" s="1">
        <f t="shared" si="4"/>
        <v>65.14</v>
      </c>
      <c r="L300" s="1" t="str">
        <f>_xlfn.XLOOKUP(A300,satellite_programs!A:A,satellite_programs!N:N)</f>
        <v>Operations</v>
      </c>
    </row>
    <row r="301" spans="1:12" x14ac:dyDescent="0.5">
      <c r="A301" s="1" t="s">
        <v>41</v>
      </c>
      <c r="B301" s="1" t="s">
        <v>32</v>
      </c>
      <c r="C301" s="1" t="s">
        <v>33</v>
      </c>
      <c r="D301" s="1">
        <v>2029</v>
      </c>
      <c r="E301" s="1" t="s">
        <v>28</v>
      </c>
      <c r="F301" s="1">
        <v>0</v>
      </c>
      <c r="G301" s="1">
        <v>0</v>
      </c>
      <c r="H301" s="1">
        <v>40.28</v>
      </c>
      <c r="I301" s="1">
        <v>25.53</v>
      </c>
      <c r="J301" s="1">
        <v>0</v>
      </c>
      <c r="K301" s="1">
        <f t="shared" si="4"/>
        <v>65.81</v>
      </c>
      <c r="L301" s="1" t="str">
        <f>_xlfn.XLOOKUP(A301,satellite_programs!A:A,satellite_programs!N:N)</f>
        <v>Operations</v>
      </c>
    </row>
    <row r="302" spans="1:12" x14ac:dyDescent="0.5">
      <c r="A302" s="1" t="s">
        <v>41</v>
      </c>
      <c r="B302" s="1" t="s">
        <v>32</v>
      </c>
      <c r="C302" s="1" t="s">
        <v>33</v>
      </c>
      <c r="D302" s="1">
        <v>2030</v>
      </c>
      <c r="E302" s="1" t="s">
        <v>28</v>
      </c>
      <c r="F302" s="1">
        <v>0</v>
      </c>
      <c r="G302" s="1">
        <v>0</v>
      </c>
      <c r="H302" s="1">
        <v>40.28</v>
      </c>
      <c r="I302" s="1">
        <v>26.2</v>
      </c>
      <c r="J302" s="1">
        <v>0</v>
      </c>
      <c r="K302" s="1">
        <f t="shared" si="4"/>
        <v>66.48</v>
      </c>
      <c r="L302" s="1" t="str">
        <f>_xlfn.XLOOKUP(A302,satellite_programs!A:A,satellite_programs!N:N)</f>
        <v>Operations</v>
      </c>
    </row>
    <row r="303" spans="1:12" x14ac:dyDescent="0.5">
      <c r="A303" s="1" t="s">
        <v>41</v>
      </c>
      <c r="B303" s="1" t="s">
        <v>32</v>
      </c>
      <c r="C303" s="1" t="s">
        <v>33</v>
      </c>
      <c r="D303" s="1">
        <v>2031</v>
      </c>
      <c r="E303" s="1" t="s">
        <v>28</v>
      </c>
      <c r="F303" s="1">
        <v>0</v>
      </c>
      <c r="G303" s="1">
        <v>0</v>
      </c>
      <c r="H303" s="1">
        <v>40.28</v>
      </c>
      <c r="I303" s="1">
        <v>26.86</v>
      </c>
      <c r="J303" s="1">
        <v>0</v>
      </c>
      <c r="K303" s="1">
        <f t="shared" si="4"/>
        <v>67.14</v>
      </c>
      <c r="L303" s="1" t="str">
        <f>_xlfn.XLOOKUP(A303,satellite_programs!A:A,satellite_programs!N:N)</f>
        <v>Operations</v>
      </c>
    </row>
    <row r="304" spans="1:12" x14ac:dyDescent="0.5">
      <c r="A304" s="1" t="s">
        <v>41</v>
      </c>
      <c r="B304" s="1" t="s">
        <v>32</v>
      </c>
      <c r="C304" s="1" t="s">
        <v>33</v>
      </c>
      <c r="D304" s="1">
        <v>2032</v>
      </c>
      <c r="E304" s="1" t="s">
        <v>28</v>
      </c>
      <c r="F304" s="1">
        <v>0</v>
      </c>
      <c r="G304" s="1">
        <v>0</v>
      </c>
      <c r="H304" s="1">
        <v>40.28</v>
      </c>
      <c r="I304" s="1">
        <v>27.53</v>
      </c>
      <c r="J304" s="1">
        <v>0</v>
      </c>
      <c r="K304" s="1">
        <f t="shared" si="4"/>
        <v>67.81</v>
      </c>
      <c r="L304" s="1" t="str">
        <f>_xlfn.XLOOKUP(A304,satellite_programs!A:A,satellite_programs!N:N)</f>
        <v>Operations</v>
      </c>
    </row>
    <row r="305" spans="1:12" x14ac:dyDescent="0.5">
      <c r="A305" s="1" t="s">
        <v>41</v>
      </c>
      <c r="B305" s="1" t="s">
        <v>32</v>
      </c>
      <c r="C305" s="1" t="s">
        <v>33</v>
      </c>
      <c r="D305" s="1">
        <v>2033</v>
      </c>
      <c r="E305" s="1" t="s">
        <v>28</v>
      </c>
      <c r="F305" s="1">
        <v>0</v>
      </c>
      <c r="G305" s="1">
        <v>0</v>
      </c>
      <c r="H305" s="1">
        <v>40.28</v>
      </c>
      <c r="I305" s="1">
        <v>28.19</v>
      </c>
      <c r="J305" s="1">
        <v>0</v>
      </c>
      <c r="K305" s="1">
        <f t="shared" si="4"/>
        <v>68.47</v>
      </c>
      <c r="L305" s="1" t="str">
        <f>_xlfn.XLOOKUP(A305,satellite_programs!A:A,satellite_programs!N:N)</f>
        <v>Operations</v>
      </c>
    </row>
    <row r="306" spans="1:12" x14ac:dyDescent="0.5">
      <c r="A306" s="1" t="s">
        <v>41</v>
      </c>
      <c r="B306" s="1" t="s">
        <v>32</v>
      </c>
      <c r="C306" s="1" t="s">
        <v>33</v>
      </c>
      <c r="D306" s="1">
        <v>2034</v>
      </c>
      <c r="E306" s="1" t="s">
        <v>28</v>
      </c>
      <c r="F306" s="1">
        <v>0</v>
      </c>
      <c r="G306" s="1">
        <v>0</v>
      </c>
      <c r="H306" s="1">
        <v>40.28</v>
      </c>
      <c r="I306" s="1">
        <v>28.86</v>
      </c>
      <c r="J306" s="1">
        <v>0</v>
      </c>
      <c r="K306" s="1">
        <f t="shared" si="4"/>
        <v>69.14</v>
      </c>
      <c r="L306" s="1" t="str">
        <f>_xlfn.XLOOKUP(A306,satellite_programs!A:A,satellite_programs!N:N)</f>
        <v>Operations</v>
      </c>
    </row>
    <row r="307" spans="1:12" x14ac:dyDescent="0.5">
      <c r="A307" s="1" t="s">
        <v>41</v>
      </c>
      <c r="B307" s="1" t="s">
        <v>32</v>
      </c>
      <c r="C307" s="1" t="s">
        <v>33</v>
      </c>
      <c r="D307" s="1">
        <v>2035</v>
      </c>
      <c r="E307" s="1" t="s">
        <v>28</v>
      </c>
      <c r="F307" s="1">
        <v>0</v>
      </c>
      <c r="G307" s="1">
        <v>0</v>
      </c>
      <c r="H307" s="1">
        <v>40.28</v>
      </c>
      <c r="I307" s="1">
        <v>29.53</v>
      </c>
      <c r="J307" s="1">
        <v>0</v>
      </c>
      <c r="K307" s="1">
        <f t="shared" si="4"/>
        <v>69.81</v>
      </c>
      <c r="L307" s="1" t="str">
        <f>_xlfn.XLOOKUP(A307,satellite_programs!A:A,satellite_programs!N:N)</f>
        <v>Operations</v>
      </c>
    </row>
    <row r="308" spans="1:12" x14ac:dyDescent="0.5">
      <c r="A308" s="1" t="s">
        <v>41</v>
      </c>
      <c r="B308" s="1" t="s">
        <v>32</v>
      </c>
      <c r="C308" s="1" t="s">
        <v>33</v>
      </c>
      <c r="D308" s="1">
        <v>2037</v>
      </c>
      <c r="E308" s="1" t="s">
        <v>103</v>
      </c>
      <c r="F308" s="1">
        <v>0</v>
      </c>
      <c r="G308" s="1">
        <v>0</v>
      </c>
      <c r="H308" s="1">
        <v>0</v>
      </c>
      <c r="I308" s="1">
        <v>0</v>
      </c>
      <c r="J308" s="1">
        <v>11.04</v>
      </c>
      <c r="K308" s="1">
        <f t="shared" si="4"/>
        <v>11.04</v>
      </c>
      <c r="L308" s="1" t="str">
        <f>_xlfn.XLOOKUP(A308,satellite_programs!A:A,satellite_programs!N:N)</f>
        <v>Operations</v>
      </c>
    </row>
    <row r="309" spans="1:12" x14ac:dyDescent="0.5">
      <c r="A309" s="1" t="s">
        <v>66</v>
      </c>
      <c r="B309" s="1" t="s">
        <v>67</v>
      </c>
      <c r="C309" s="1" t="s">
        <v>33</v>
      </c>
      <c r="D309" s="1">
        <v>1997</v>
      </c>
      <c r="E309" s="1" t="s">
        <v>104</v>
      </c>
      <c r="F309" s="1">
        <v>6.89</v>
      </c>
      <c r="G309" s="1">
        <v>0</v>
      </c>
      <c r="H309" s="1">
        <v>0</v>
      </c>
      <c r="I309" s="1">
        <v>0</v>
      </c>
      <c r="J309" s="1">
        <v>0</v>
      </c>
      <c r="K309" s="1">
        <f t="shared" si="4"/>
        <v>6.89</v>
      </c>
      <c r="L309" s="1" t="str">
        <f>_xlfn.XLOOKUP(A309,satellite_programs!A:A,satellite_programs!N:N)</f>
        <v>Retired</v>
      </c>
    </row>
    <row r="310" spans="1:12" x14ac:dyDescent="0.5">
      <c r="A310" s="1" t="s">
        <v>66</v>
      </c>
      <c r="B310" s="1" t="s">
        <v>67</v>
      </c>
      <c r="C310" s="1" t="s">
        <v>33</v>
      </c>
      <c r="D310" s="1">
        <v>1998</v>
      </c>
      <c r="E310" s="1" t="s">
        <v>104</v>
      </c>
      <c r="F310" s="1">
        <v>13.78</v>
      </c>
      <c r="G310" s="1">
        <v>0</v>
      </c>
      <c r="H310" s="1">
        <v>0</v>
      </c>
      <c r="I310" s="1">
        <v>0</v>
      </c>
      <c r="J310" s="1">
        <v>0</v>
      </c>
      <c r="K310" s="1">
        <f t="shared" si="4"/>
        <v>13.78</v>
      </c>
      <c r="L310" s="1" t="str">
        <f>_xlfn.XLOOKUP(A310,satellite_programs!A:A,satellite_programs!N:N)</f>
        <v>Retired</v>
      </c>
    </row>
    <row r="311" spans="1:12" x14ac:dyDescent="0.5">
      <c r="A311" s="1" t="s">
        <v>66</v>
      </c>
      <c r="B311" s="1" t="s">
        <v>67</v>
      </c>
      <c r="C311" s="1" t="s">
        <v>33</v>
      </c>
      <c r="D311" s="1">
        <v>1999</v>
      </c>
      <c r="E311" s="1" t="s">
        <v>104</v>
      </c>
      <c r="F311" s="1">
        <v>24.8</v>
      </c>
      <c r="G311" s="1">
        <v>0</v>
      </c>
      <c r="H311" s="1">
        <v>0</v>
      </c>
      <c r="I311" s="1">
        <v>0</v>
      </c>
      <c r="J311" s="1">
        <v>0</v>
      </c>
      <c r="K311" s="1">
        <f t="shared" si="4"/>
        <v>24.8</v>
      </c>
      <c r="L311" s="1" t="str">
        <f>_xlfn.XLOOKUP(A311,satellite_programs!A:A,satellite_programs!N:N)</f>
        <v>Retired</v>
      </c>
    </row>
    <row r="312" spans="1:12" x14ac:dyDescent="0.5">
      <c r="A312" s="1" t="s">
        <v>66</v>
      </c>
      <c r="B312" s="1" t="s">
        <v>67</v>
      </c>
      <c r="C312" s="1" t="s">
        <v>33</v>
      </c>
      <c r="D312" s="1">
        <v>2000</v>
      </c>
      <c r="E312" s="1" t="s">
        <v>104</v>
      </c>
      <c r="F312" s="1">
        <v>30.31</v>
      </c>
      <c r="G312" s="1">
        <v>0</v>
      </c>
      <c r="H312" s="1">
        <v>0</v>
      </c>
      <c r="I312" s="1">
        <v>0</v>
      </c>
      <c r="J312" s="1">
        <v>0</v>
      </c>
      <c r="K312" s="1">
        <f t="shared" si="4"/>
        <v>30.31</v>
      </c>
      <c r="L312" s="1" t="str">
        <f>_xlfn.XLOOKUP(A312,satellite_programs!A:A,satellite_programs!N:N)</f>
        <v>Retired</v>
      </c>
    </row>
    <row r="313" spans="1:12" x14ac:dyDescent="0.5">
      <c r="A313" s="1" t="s">
        <v>66</v>
      </c>
      <c r="B313" s="1" t="s">
        <v>67</v>
      </c>
      <c r="C313" s="1" t="s">
        <v>33</v>
      </c>
      <c r="D313" s="1">
        <v>2001</v>
      </c>
      <c r="E313" s="1" t="s">
        <v>104</v>
      </c>
      <c r="F313" s="1">
        <v>27.55</v>
      </c>
      <c r="G313" s="1">
        <v>26.67</v>
      </c>
      <c r="H313" s="1">
        <v>0</v>
      </c>
      <c r="I313" s="1">
        <v>0</v>
      </c>
      <c r="J313" s="1">
        <v>0</v>
      </c>
      <c r="K313" s="1">
        <f t="shared" si="4"/>
        <v>54.22</v>
      </c>
      <c r="L313" s="1" t="str">
        <f>_xlfn.XLOOKUP(A313,satellite_programs!A:A,satellite_programs!N:N)</f>
        <v>Retired</v>
      </c>
    </row>
    <row r="314" spans="1:12" x14ac:dyDescent="0.5">
      <c r="A314" s="1" t="s">
        <v>66</v>
      </c>
      <c r="B314" s="1" t="s">
        <v>67</v>
      </c>
      <c r="C314" s="1" t="s">
        <v>33</v>
      </c>
      <c r="D314" s="1">
        <v>2002</v>
      </c>
      <c r="E314" s="1" t="s">
        <v>104</v>
      </c>
      <c r="F314" s="1">
        <v>17.899999999999999</v>
      </c>
      <c r="G314" s="1">
        <v>21.82</v>
      </c>
      <c r="H314" s="1">
        <v>0</v>
      </c>
      <c r="I314" s="1">
        <v>0</v>
      </c>
      <c r="J314" s="1">
        <v>0</v>
      </c>
      <c r="K314" s="1">
        <f t="shared" si="4"/>
        <v>39.72</v>
      </c>
      <c r="L314" s="1" t="str">
        <f>_xlfn.XLOOKUP(A314,satellite_programs!A:A,satellite_programs!N:N)</f>
        <v>Retired</v>
      </c>
    </row>
    <row r="315" spans="1:12" x14ac:dyDescent="0.5">
      <c r="A315" s="1" t="s">
        <v>66</v>
      </c>
      <c r="B315" s="1" t="s">
        <v>67</v>
      </c>
      <c r="C315" s="1" t="s">
        <v>33</v>
      </c>
      <c r="D315" s="1">
        <v>2003</v>
      </c>
      <c r="E315" s="1" t="s">
        <v>28</v>
      </c>
      <c r="F315" s="1">
        <v>0</v>
      </c>
      <c r="G315" s="1">
        <v>0</v>
      </c>
      <c r="H315" s="1">
        <v>33.200000000000003</v>
      </c>
      <c r="I315" s="1">
        <v>21.96</v>
      </c>
      <c r="J315" s="1">
        <v>0</v>
      </c>
      <c r="K315" s="1">
        <f t="shared" si="4"/>
        <v>55.160000000000004</v>
      </c>
      <c r="L315" s="1" t="str">
        <f>_xlfn.XLOOKUP(A315,satellite_programs!A:A,satellite_programs!N:N)</f>
        <v>Retired</v>
      </c>
    </row>
    <row r="316" spans="1:12" x14ac:dyDescent="0.5">
      <c r="A316" s="1" t="s">
        <v>66</v>
      </c>
      <c r="B316" s="1" t="s">
        <v>67</v>
      </c>
      <c r="C316" s="1" t="s">
        <v>33</v>
      </c>
      <c r="D316" s="1">
        <v>2004</v>
      </c>
      <c r="E316" s="1" t="s">
        <v>28</v>
      </c>
      <c r="F316" s="1">
        <v>0</v>
      </c>
      <c r="G316" s="1">
        <v>0</v>
      </c>
      <c r="H316" s="1">
        <v>33.200000000000003</v>
      </c>
      <c r="I316" s="1">
        <v>22.62</v>
      </c>
      <c r="J316" s="1">
        <v>0</v>
      </c>
      <c r="K316" s="1">
        <f t="shared" si="4"/>
        <v>55.820000000000007</v>
      </c>
      <c r="L316" s="1" t="str">
        <f>_xlfn.XLOOKUP(A316,satellite_programs!A:A,satellite_programs!N:N)</f>
        <v>Retired</v>
      </c>
    </row>
    <row r="317" spans="1:12" x14ac:dyDescent="0.5">
      <c r="A317" s="1" t="s">
        <v>66</v>
      </c>
      <c r="B317" s="1" t="s">
        <v>67</v>
      </c>
      <c r="C317" s="1" t="s">
        <v>33</v>
      </c>
      <c r="D317" s="1">
        <v>2005</v>
      </c>
      <c r="E317" s="1" t="s">
        <v>28</v>
      </c>
      <c r="F317" s="1">
        <v>0</v>
      </c>
      <c r="G317" s="1">
        <v>0</v>
      </c>
      <c r="H317" s="1">
        <v>33.200000000000003</v>
      </c>
      <c r="I317" s="1">
        <v>23.28</v>
      </c>
      <c r="J317" s="1">
        <v>0</v>
      </c>
      <c r="K317" s="1">
        <f t="shared" si="4"/>
        <v>56.480000000000004</v>
      </c>
      <c r="L317" s="1" t="str">
        <f>_xlfn.XLOOKUP(A317,satellite_programs!A:A,satellite_programs!N:N)</f>
        <v>Retired</v>
      </c>
    </row>
    <row r="318" spans="1:12" x14ac:dyDescent="0.5">
      <c r="A318" s="1" t="s">
        <v>66</v>
      </c>
      <c r="B318" s="1" t="s">
        <v>67</v>
      </c>
      <c r="C318" s="1" t="s">
        <v>33</v>
      </c>
      <c r="D318" s="1">
        <v>2006</v>
      </c>
      <c r="E318" s="1" t="s">
        <v>28</v>
      </c>
      <c r="F318" s="1">
        <v>0</v>
      </c>
      <c r="G318" s="1">
        <v>0</v>
      </c>
      <c r="H318" s="1">
        <v>33.200000000000003</v>
      </c>
      <c r="I318" s="1">
        <v>23.94</v>
      </c>
      <c r="J318" s="1">
        <v>0</v>
      </c>
      <c r="K318" s="1">
        <f t="shared" si="4"/>
        <v>57.14</v>
      </c>
      <c r="L318" s="1" t="str">
        <f>_xlfn.XLOOKUP(A318,satellite_programs!A:A,satellite_programs!N:N)</f>
        <v>Retired</v>
      </c>
    </row>
    <row r="319" spans="1:12" x14ac:dyDescent="0.5">
      <c r="A319" s="1" t="s">
        <v>66</v>
      </c>
      <c r="B319" s="1" t="s">
        <v>67</v>
      </c>
      <c r="C319" s="1" t="s">
        <v>33</v>
      </c>
      <c r="D319" s="1">
        <v>2007</v>
      </c>
      <c r="E319" s="1" t="s">
        <v>28</v>
      </c>
      <c r="F319" s="1">
        <v>0</v>
      </c>
      <c r="G319" s="1">
        <v>0</v>
      </c>
      <c r="H319" s="1">
        <v>33.200000000000003</v>
      </c>
      <c r="I319" s="1">
        <v>24.6</v>
      </c>
      <c r="J319" s="1">
        <v>0</v>
      </c>
      <c r="K319" s="1">
        <f t="shared" si="4"/>
        <v>57.800000000000004</v>
      </c>
      <c r="L319" s="1" t="str">
        <f>_xlfn.XLOOKUP(A319,satellite_programs!A:A,satellite_programs!N:N)</f>
        <v>Retired</v>
      </c>
    </row>
    <row r="320" spans="1:12" x14ac:dyDescent="0.5">
      <c r="A320" s="1" t="s">
        <v>66</v>
      </c>
      <c r="B320" s="1" t="s">
        <v>67</v>
      </c>
      <c r="C320" s="1" t="s">
        <v>33</v>
      </c>
      <c r="D320" s="1">
        <v>2008</v>
      </c>
      <c r="E320" s="1" t="s">
        <v>28</v>
      </c>
      <c r="F320" s="1">
        <v>0</v>
      </c>
      <c r="G320" s="1">
        <v>0</v>
      </c>
      <c r="H320" s="1">
        <v>33.200000000000003</v>
      </c>
      <c r="I320" s="1">
        <v>25.25</v>
      </c>
      <c r="J320" s="1">
        <v>0</v>
      </c>
      <c r="K320" s="1">
        <f t="shared" si="4"/>
        <v>58.45</v>
      </c>
      <c r="L320" s="1" t="str">
        <f>_xlfn.XLOOKUP(A320,satellite_programs!A:A,satellite_programs!N:N)</f>
        <v>Retired</v>
      </c>
    </row>
    <row r="321" spans="1:12" x14ac:dyDescent="0.5">
      <c r="A321" s="1" t="s">
        <v>66</v>
      </c>
      <c r="B321" s="1" t="s">
        <v>67</v>
      </c>
      <c r="C321" s="1" t="s">
        <v>33</v>
      </c>
      <c r="D321" s="1">
        <v>2009</v>
      </c>
      <c r="E321" s="1" t="s">
        <v>28</v>
      </c>
      <c r="F321" s="1">
        <v>0</v>
      </c>
      <c r="G321" s="1">
        <v>0</v>
      </c>
      <c r="H321" s="1">
        <v>33.200000000000003</v>
      </c>
      <c r="I321" s="1">
        <v>25.91</v>
      </c>
      <c r="J321" s="1">
        <v>0</v>
      </c>
      <c r="K321" s="1">
        <f t="shared" si="4"/>
        <v>59.11</v>
      </c>
      <c r="L321" s="1" t="str">
        <f>_xlfn.XLOOKUP(A321,satellite_programs!A:A,satellite_programs!N:N)</f>
        <v>Retired</v>
      </c>
    </row>
    <row r="322" spans="1:12" x14ac:dyDescent="0.5">
      <c r="A322" s="1" t="s">
        <v>66</v>
      </c>
      <c r="B322" s="1" t="s">
        <v>67</v>
      </c>
      <c r="C322" s="1" t="s">
        <v>33</v>
      </c>
      <c r="D322" s="1">
        <v>2011</v>
      </c>
      <c r="E322" s="1" t="s">
        <v>103</v>
      </c>
      <c r="F322" s="1">
        <v>0</v>
      </c>
      <c r="G322" s="1">
        <v>0</v>
      </c>
      <c r="H322" s="1">
        <v>0</v>
      </c>
      <c r="I322" s="1">
        <v>0</v>
      </c>
      <c r="J322" s="1">
        <v>10.199999999999999</v>
      </c>
      <c r="K322" s="1">
        <f t="shared" ref="K322:K385" si="5">SUM(F322:J322)</f>
        <v>10.199999999999999</v>
      </c>
      <c r="L322" s="1" t="str">
        <f>_xlfn.XLOOKUP(A322,satellite_programs!A:A,satellite_programs!N:N)</f>
        <v>Retired</v>
      </c>
    </row>
    <row r="323" spans="1:12" x14ac:dyDescent="0.5">
      <c r="A323" s="1" t="s">
        <v>68</v>
      </c>
      <c r="B323" s="1" t="s">
        <v>67</v>
      </c>
      <c r="C323" s="1" t="s">
        <v>33</v>
      </c>
      <c r="D323" s="1">
        <v>2000</v>
      </c>
      <c r="E323" s="1" t="s">
        <v>104</v>
      </c>
      <c r="F323" s="1">
        <v>7.04</v>
      </c>
      <c r="G323" s="1">
        <v>0</v>
      </c>
      <c r="H323" s="1">
        <v>0</v>
      </c>
      <c r="I323" s="1">
        <v>0</v>
      </c>
      <c r="J323" s="1">
        <v>0</v>
      </c>
      <c r="K323" s="1">
        <f t="shared" si="5"/>
        <v>7.04</v>
      </c>
      <c r="L323" s="1" t="str">
        <f>_xlfn.XLOOKUP(A323,satellite_programs!A:A,satellite_programs!N:N)</f>
        <v>Retired</v>
      </c>
    </row>
    <row r="324" spans="1:12" x14ac:dyDescent="0.5">
      <c r="A324" s="1" t="s">
        <v>68</v>
      </c>
      <c r="B324" s="1" t="s">
        <v>67</v>
      </c>
      <c r="C324" s="1" t="s">
        <v>33</v>
      </c>
      <c r="D324" s="1">
        <v>2001</v>
      </c>
      <c r="E324" s="1" t="s">
        <v>104</v>
      </c>
      <c r="F324" s="1">
        <v>14.08</v>
      </c>
      <c r="G324" s="1">
        <v>0</v>
      </c>
      <c r="H324" s="1">
        <v>0</v>
      </c>
      <c r="I324" s="1">
        <v>0</v>
      </c>
      <c r="J324" s="1">
        <v>0</v>
      </c>
      <c r="K324" s="1">
        <f t="shared" si="5"/>
        <v>14.08</v>
      </c>
      <c r="L324" s="1" t="str">
        <f>_xlfn.XLOOKUP(A324,satellite_programs!A:A,satellite_programs!N:N)</f>
        <v>Retired</v>
      </c>
    </row>
    <row r="325" spans="1:12" x14ac:dyDescent="0.5">
      <c r="A325" s="1" t="s">
        <v>68</v>
      </c>
      <c r="B325" s="1" t="s">
        <v>67</v>
      </c>
      <c r="C325" s="1" t="s">
        <v>33</v>
      </c>
      <c r="D325" s="1">
        <v>2002</v>
      </c>
      <c r="E325" s="1" t="s">
        <v>104</v>
      </c>
      <c r="F325" s="1">
        <v>25.34</v>
      </c>
      <c r="G325" s="1">
        <v>0</v>
      </c>
      <c r="H325" s="1">
        <v>0</v>
      </c>
      <c r="I325" s="1">
        <v>0</v>
      </c>
      <c r="J325" s="1">
        <v>0</v>
      </c>
      <c r="K325" s="1">
        <f t="shared" si="5"/>
        <v>25.34</v>
      </c>
      <c r="L325" s="1" t="str">
        <f>_xlfn.XLOOKUP(A325,satellite_programs!A:A,satellite_programs!N:N)</f>
        <v>Retired</v>
      </c>
    </row>
    <row r="326" spans="1:12" x14ac:dyDescent="0.5">
      <c r="A326" s="1" t="s">
        <v>68</v>
      </c>
      <c r="B326" s="1" t="s">
        <v>67</v>
      </c>
      <c r="C326" s="1" t="s">
        <v>33</v>
      </c>
      <c r="D326" s="1">
        <v>2003</v>
      </c>
      <c r="E326" s="1" t="s">
        <v>104</v>
      </c>
      <c r="F326" s="1">
        <v>30.97</v>
      </c>
      <c r="G326" s="1">
        <v>0</v>
      </c>
      <c r="H326" s="1">
        <v>0</v>
      </c>
      <c r="I326" s="1">
        <v>0</v>
      </c>
      <c r="J326" s="1">
        <v>0</v>
      </c>
      <c r="K326" s="1">
        <f t="shared" si="5"/>
        <v>30.97</v>
      </c>
      <c r="L326" s="1" t="str">
        <f>_xlfn.XLOOKUP(A326,satellite_programs!A:A,satellite_programs!N:N)</f>
        <v>Retired</v>
      </c>
    </row>
    <row r="327" spans="1:12" x14ac:dyDescent="0.5">
      <c r="A327" s="1" t="s">
        <v>68</v>
      </c>
      <c r="B327" s="1" t="s">
        <v>67</v>
      </c>
      <c r="C327" s="1" t="s">
        <v>33</v>
      </c>
      <c r="D327" s="1">
        <v>2004</v>
      </c>
      <c r="E327" s="1" t="s">
        <v>104</v>
      </c>
      <c r="F327" s="1">
        <v>28.16</v>
      </c>
      <c r="G327" s="1">
        <v>0</v>
      </c>
      <c r="H327" s="1">
        <v>0</v>
      </c>
      <c r="I327" s="1">
        <v>0</v>
      </c>
      <c r="J327" s="1">
        <v>0</v>
      </c>
      <c r="K327" s="1">
        <f t="shared" si="5"/>
        <v>28.16</v>
      </c>
      <c r="L327" s="1" t="str">
        <f>_xlfn.XLOOKUP(A327,satellite_programs!A:A,satellite_programs!N:N)</f>
        <v>Retired</v>
      </c>
    </row>
    <row r="328" spans="1:12" x14ac:dyDescent="0.5">
      <c r="A328" s="1" t="s">
        <v>68</v>
      </c>
      <c r="B328" s="1" t="s">
        <v>67</v>
      </c>
      <c r="C328" s="1" t="s">
        <v>33</v>
      </c>
      <c r="D328" s="1">
        <v>2005</v>
      </c>
      <c r="E328" s="1" t="s">
        <v>104</v>
      </c>
      <c r="F328" s="1">
        <v>18.3</v>
      </c>
      <c r="G328" s="1">
        <v>29.73</v>
      </c>
      <c r="H328" s="1">
        <v>0</v>
      </c>
      <c r="I328" s="1">
        <v>0</v>
      </c>
      <c r="J328" s="1">
        <v>0</v>
      </c>
      <c r="K328" s="1">
        <f t="shared" si="5"/>
        <v>48.03</v>
      </c>
      <c r="L328" s="1" t="str">
        <f>_xlfn.XLOOKUP(A328,satellite_programs!A:A,satellite_programs!N:N)</f>
        <v>Retired</v>
      </c>
    </row>
    <row r="329" spans="1:12" x14ac:dyDescent="0.5">
      <c r="A329" s="1" t="s">
        <v>68</v>
      </c>
      <c r="B329" s="1" t="s">
        <v>67</v>
      </c>
      <c r="C329" s="1" t="s">
        <v>33</v>
      </c>
      <c r="D329" s="1">
        <v>2006</v>
      </c>
      <c r="E329" s="1" t="s">
        <v>104</v>
      </c>
      <c r="F329" s="1">
        <v>11.26</v>
      </c>
      <c r="G329" s="1">
        <v>24.33</v>
      </c>
      <c r="H329" s="1">
        <v>0</v>
      </c>
      <c r="I329" s="1">
        <v>0</v>
      </c>
      <c r="J329" s="1">
        <v>0</v>
      </c>
      <c r="K329" s="1">
        <f t="shared" si="5"/>
        <v>35.589999999999996</v>
      </c>
      <c r="L329" s="1" t="str">
        <f>_xlfn.XLOOKUP(A329,satellite_programs!A:A,satellite_programs!N:N)</f>
        <v>Retired</v>
      </c>
    </row>
    <row r="330" spans="1:12" x14ac:dyDescent="0.5">
      <c r="A330" s="1" t="s">
        <v>68</v>
      </c>
      <c r="B330" s="1" t="s">
        <v>67</v>
      </c>
      <c r="C330" s="1" t="s">
        <v>33</v>
      </c>
      <c r="D330" s="1">
        <v>2007</v>
      </c>
      <c r="E330" s="1" t="s">
        <v>28</v>
      </c>
      <c r="F330" s="1">
        <v>0</v>
      </c>
      <c r="G330" s="1">
        <v>0</v>
      </c>
      <c r="H330" s="1">
        <v>35.6</v>
      </c>
      <c r="I330" s="1">
        <v>22.44</v>
      </c>
      <c r="J330" s="1">
        <v>0</v>
      </c>
      <c r="K330" s="1">
        <f t="shared" si="5"/>
        <v>58.040000000000006</v>
      </c>
      <c r="L330" s="1" t="str">
        <f>_xlfn.XLOOKUP(A330,satellite_programs!A:A,satellite_programs!N:N)</f>
        <v>Retired</v>
      </c>
    </row>
    <row r="331" spans="1:12" x14ac:dyDescent="0.5">
      <c r="A331" s="1" t="s">
        <v>68</v>
      </c>
      <c r="B331" s="1" t="s">
        <v>67</v>
      </c>
      <c r="C331" s="1" t="s">
        <v>33</v>
      </c>
      <c r="D331" s="1">
        <v>2008</v>
      </c>
      <c r="E331" s="1" t="s">
        <v>28</v>
      </c>
      <c r="F331" s="1">
        <v>0</v>
      </c>
      <c r="G331" s="1">
        <v>0</v>
      </c>
      <c r="H331" s="1">
        <v>35.6</v>
      </c>
      <c r="I331" s="1">
        <v>23.11</v>
      </c>
      <c r="J331" s="1">
        <v>0</v>
      </c>
      <c r="K331" s="1">
        <f t="shared" si="5"/>
        <v>58.71</v>
      </c>
      <c r="L331" s="1" t="str">
        <f>_xlfn.XLOOKUP(A331,satellite_programs!A:A,satellite_programs!N:N)</f>
        <v>Retired</v>
      </c>
    </row>
    <row r="332" spans="1:12" x14ac:dyDescent="0.5">
      <c r="A332" s="1" t="s">
        <v>68</v>
      </c>
      <c r="B332" s="1" t="s">
        <v>67</v>
      </c>
      <c r="C332" s="1" t="s">
        <v>33</v>
      </c>
      <c r="D332" s="1">
        <v>2009</v>
      </c>
      <c r="E332" s="1" t="s">
        <v>28</v>
      </c>
      <c r="F332" s="1">
        <v>0</v>
      </c>
      <c r="G332" s="1">
        <v>0</v>
      </c>
      <c r="H332" s="1">
        <v>35.6</v>
      </c>
      <c r="I332" s="1">
        <v>23.79</v>
      </c>
      <c r="J332" s="1">
        <v>0</v>
      </c>
      <c r="K332" s="1">
        <f t="shared" si="5"/>
        <v>59.39</v>
      </c>
      <c r="L332" s="1" t="str">
        <f>_xlfn.XLOOKUP(A332,satellite_programs!A:A,satellite_programs!N:N)</f>
        <v>Retired</v>
      </c>
    </row>
    <row r="333" spans="1:12" x14ac:dyDescent="0.5">
      <c r="A333" s="1" t="s">
        <v>68</v>
      </c>
      <c r="B333" s="1" t="s">
        <v>67</v>
      </c>
      <c r="C333" s="1" t="s">
        <v>33</v>
      </c>
      <c r="D333" s="1">
        <v>2010</v>
      </c>
      <c r="E333" s="1" t="s">
        <v>28</v>
      </c>
      <c r="F333" s="1">
        <v>0</v>
      </c>
      <c r="G333" s="1">
        <v>0</v>
      </c>
      <c r="H333" s="1">
        <v>35.6</v>
      </c>
      <c r="I333" s="1">
        <v>24.46</v>
      </c>
      <c r="J333" s="1">
        <v>0</v>
      </c>
      <c r="K333" s="1">
        <f t="shared" si="5"/>
        <v>60.06</v>
      </c>
      <c r="L333" s="1" t="str">
        <f>_xlfn.XLOOKUP(A333,satellite_programs!A:A,satellite_programs!N:N)</f>
        <v>Retired</v>
      </c>
    </row>
    <row r="334" spans="1:12" x14ac:dyDescent="0.5">
      <c r="A334" s="1" t="s">
        <v>68</v>
      </c>
      <c r="B334" s="1" t="s">
        <v>67</v>
      </c>
      <c r="C334" s="1" t="s">
        <v>33</v>
      </c>
      <c r="D334" s="1">
        <v>2011</v>
      </c>
      <c r="E334" s="1" t="s">
        <v>28</v>
      </c>
      <c r="F334" s="1">
        <v>0</v>
      </c>
      <c r="G334" s="1">
        <v>0</v>
      </c>
      <c r="H334" s="1">
        <v>35.6</v>
      </c>
      <c r="I334" s="1">
        <v>25.13</v>
      </c>
      <c r="J334" s="1">
        <v>0</v>
      </c>
      <c r="K334" s="1">
        <f t="shared" si="5"/>
        <v>60.730000000000004</v>
      </c>
      <c r="L334" s="1" t="str">
        <f>_xlfn.XLOOKUP(A334,satellite_programs!A:A,satellite_programs!N:N)</f>
        <v>Retired</v>
      </c>
    </row>
    <row r="335" spans="1:12" x14ac:dyDescent="0.5">
      <c r="A335" s="1" t="s">
        <v>68</v>
      </c>
      <c r="B335" s="1" t="s">
        <v>67</v>
      </c>
      <c r="C335" s="1" t="s">
        <v>33</v>
      </c>
      <c r="D335" s="1">
        <v>2012</v>
      </c>
      <c r="E335" s="1" t="s">
        <v>28</v>
      </c>
      <c r="F335" s="1">
        <v>0</v>
      </c>
      <c r="G335" s="1">
        <v>0</v>
      </c>
      <c r="H335" s="1">
        <v>35.6</v>
      </c>
      <c r="I335" s="1">
        <v>25.81</v>
      </c>
      <c r="J335" s="1">
        <v>0</v>
      </c>
      <c r="K335" s="1">
        <f t="shared" si="5"/>
        <v>61.41</v>
      </c>
      <c r="L335" s="1" t="str">
        <f>_xlfn.XLOOKUP(A335,satellite_programs!A:A,satellite_programs!N:N)</f>
        <v>Retired</v>
      </c>
    </row>
    <row r="336" spans="1:12" x14ac:dyDescent="0.5">
      <c r="A336" s="1" t="s">
        <v>68</v>
      </c>
      <c r="B336" s="1" t="s">
        <v>67</v>
      </c>
      <c r="C336" s="1" t="s">
        <v>33</v>
      </c>
      <c r="D336" s="1">
        <v>2013</v>
      </c>
      <c r="E336" s="1" t="s">
        <v>28</v>
      </c>
      <c r="F336" s="1">
        <v>0</v>
      </c>
      <c r="G336" s="1">
        <v>0</v>
      </c>
      <c r="H336" s="1">
        <v>35.6</v>
      </c>
      <c r="I336" s="1">
        <v>26.48</v>
      </c>
      <c r="J336" s="1">
        <v>0</v>
      </c>
      <c r="K336" s="1">
        <f t="shared" si="5"/>
        <v>62.08</v>
      </c>
      <c r="L336" s="1" t="str">
        <f>_xlfn.XLOOKUP(A336,satellite_programs!A:A,satellite_programs!N:N)</f>
        <v>Retired</v>
      </c>
    </row>
    <row r="337" spans="1:12" x14ac:dyDescent="0.5">
      <c r="A337" s="1" t="s">
        <v>68</v>
      </c>
      <c r="B337" s="1" t="s">
        <v>67</v>
      </c>
      <c r="C337" s="1" t="s">
        <v>33</v>
      </c>
      <c r="D337" s="1">
        <v>2015</v>
      </c>
      <c r="E337" s="1" t="s">
        <v>103</v>
      </c>
      <c r="F337" s="1">
        <v>0</v>
      </c>
      <c r="G337" s="1">
        <v>0</v>
      </c>
      <c r="H337" s="1">
        <v>0</v>
      </c>
      <c r="I337" s="1">
        <v>0</v>
      </c>
      <c r="J337" s="1">
        <v>10.5</v>
      </c>
      <c r="K337" s="1">
        <f t="shared" si="5"/>
        <v>10.5</v>
      </c>
      <c r="L337" s="1" t="str">
        <f>_xlfn.XLOOKUP(A337,satellite_programs!A:A,satellite_programs!N:N)</f>
        <v>Retired</v>
      </c>
    </row>
    <row r="338" spans="1:12" x14ac:dyDescent="0.5">
      <c r="A338" s="1" t="s">
        <v>69</v>
      </c>
      <c r="B338" s="1" t="s">
        <v>67</v>
      </c>
      <c r="C338" s="1" t="s">
        <v>33</v>
      </c>
      <c r="D338" s="1">
        <v>2003</v>
      </c>
      <c r="E338" s="1" t="s">
        <v>104</v>
      </c>
      <c r="F338" s="1">
        <v>8.17</v>
      </c>
      <c r="G338" s="1">
        <v>0</v>
      </c>
      <c r="H338" s="1">
        <v>0</v>
      </c>
      <c r="I338" s="1">
        <v>0</v>
      </c>
      <c r="J338" s="1">
        <v>0</v>
      </c>
      <c r="K338" s="1">
        <f t="shared" si="5"/>
        <v>8.17</v>
      </c>
      <c r="L338" s="1" t="str">
        <f>_xlfn.XLOOKUP(A338,satellite_programs!A:A,satellite_programs!N:N)</f>
        <v>Retired</v>
      </c>
    </row>
    <row r="339" spans="1:12" x14ac:dyDescent="0.5">
      <c r="A339" s="1" t="s">
        <v>69</v>
      </c>
      <c r="B339" s="1" t="s">
        <v>67</v>
      </c>
      <c r="C339" s="1" t="s">
        <v>33</v>
      </c>
      <c r="D339" s="1">
        <v>2004</v>
      </c>
      <c r="E339" s="1" t="s">
        <v>104</v>
      </c>
      <c r="F339" s="1">
        <v>16.34</v>
      </c>
      <c r="G339" s="1">
        <v>0</v>
      </c>
      <c r="H339" s="1">
        <v>0</v>
      </c>
      <c r="I339" s="1">
        <v>0</v>
      </c>
      <c r="J339" s="1">
        <v>0</v>
      </c>
      <c r="K339" s="1">
        <f t="shared" si="5"/>
        <v>16.34</v>
      </c>
      <c r="L339" s="1" t="str">
        <f>_xlfn.XLOOKUP(A339,satellite_programs!A:A,satellite_programs!N:N)</f>
        <v>Retired</v>
      </c>
    </row>
    <row r="340" spans="1:12" x14ac:dyDescent="0.5">
      <c r="A340" s="1" t="s">
        <v>69</v>
      </c>
      <c r="B340" s="1" t="s">
        <v>67</v>
      </c>
      <c r="C340" s="1" t="s">
        <v>33</v>
      </c>
      <c r="D340" s="1">
        <v>2005</v>
      </c>
      <c r="E340" s="1" t="s">
        <v>104</v>
      </c>
      <c r="F340" s="1">
        <v>29.41</v>
      </c>
      <c r="G340" s="1">
        <v>0</v>
      </c>
      <c r="H340" s="1">
        <v>0</v>
      </c>
      <c r="I340" s="1">
        <v>0</v>
      </c>
      <c r="J340" s="1">
        <v>0</v>
      </c>
      <c r="K340" s="1">
        <f t="shared" si="5"/>
        <v>29.41</v>
      </c>
      <c r="L340" s="1" t="str">
        <f>_xlfn.XLOOKUP(A340,satellite_programs!A:A,satellite_programs!N:N)</f>
        <v>Retired</v>
      </c>
    </row>
    <row r="341" spans="1:12" x14ac:dyDescent="0.5">
      <c r="A341" s="1" t="s">
        <v>69</v>
      </c>
      <c r="B341" s="1" t="s">
        <v>67</v>
      </c>
      <c r="C341" s="1" t="s">
        <v>33</v>
      </c>
      <c r="D341" s="1">
        <v>2006</v>
      </c>
      <c r="E341" s="1" t="s">
        <v>104</v>
      </c>
      <c r="F341" s="1">
        <v>35.950000000000003</v>
      </c>
      <c r="G341" s="1">
        <v>0</v>
      </c>
      <c r="H341" s="1">
        <v>0</v>
      </c>
      <c r="I341" s="1">
        <v>0</v>
      </c>
      <c r="J341" s="1">
        <v>0</v>
      </c>
      <c r="K341" s="1">
        <f t="shared" si="5"/>
        <v>35.950000000000003</v>
      </c>
      <c r="L341" s="1" t="str">
        <f>_xlfn.XLOOKUP(A341,satellite_programs!A:A,satellite_programs!N:N)</f>
        <v>Retired</v>
      </c>
    </row>
    <row r="342" spans="1:12" x14ac:dyDescent="0.5">
      <c r="A342" s="1" t="s">
        <v>69</v>
      </c>
      <c r="B342" s="1" t="s">
        <v>67</v>
      </c>
      <c r="C342" s="1" t="s">
        <v>33</v>
      </c>
      <c r="D342" s="1">
        <v>2007</v>
      </c>
      <c r="E342" s="1" t="s">
        <v>104</v>
      </c>
      <c r="F342" s="1">
        <v>32.68</v>
      </c>
      <c r="G342" s="1">
        <v>0</v>
      </c>
      <c r="H342" s="1">
        <v>0</v>
      </c>
      <c r="I342" s="1">
        <v>0</v>
      </c>
      <c r="J342" s="1">
        <v>0</v>
      </c>
      <c r="K342" s="1">
        <f t="shared" si="5"/>
        <v>32.68</v>
      </c>
      <c r="L342" s="1" t="str">
        <f>_xlfn.XLOOKUP(A342,satellite_programs!A:A,satellite_programs!N:N)</f>
        <v>Retired</v>
      </c>
    </row>
    <row r="343" spans="1:12" x14ac:dyDescent="0.5">
      <c r="A343" s="1" t="s">
        <v>69</v>
      </c>
      <c r="B343" s="1" t="s">
        <v>67</v>
      </c>
      <c r="C343" s="1" t="s">
        <v>33</v>
      </c>
      <c r="D343" s="1">
        <v>2008</v>
      </c>
      <c r="E343" s="1" t="s">
        <v>104</v>
      </c>
      <c r="F343" s="1">
        <v>21.24</v>
      </c>
      <c r="G343" s="1">
        <v>34.51</v>
      </c>
      <c r="H343" s="1">
        <v>0</v>
      </c>
      <c r="I343" s="1">
        <v>0</v>
      </c>
      <c r="J343" s="1">
        <v>0</v>
      </c>
      <c r="K343" s="1">
        <f t="shared" si="5"/>
        <v>55.75</v>
      </c>
      <c r="L343" s="1" t="str">
        <f>_xlfn.XLOOKUP(A343,satellite_programs!A:A,satellite_programs!N:N)</f>
        <v>Retired</v>
      </c>
    </row>
    <row r="344" spans="1:12" x14ac:dyDescent="0.5">
      <c r="A344" s="1" t="s">
        <v>69</v>
      </c>
      <c r="B344" s="1" t="s">
        <v>67</v>
      </c>
      <c r="C344" s="1" t="s">
        <v>33</v>
      </c>
      <c r="D344" s="1">
        <v>2009</v>
      </c>
      <c r="E344" s="1" t="s">
        <v>104</v>
      </c>
      <c r="F344" s="1">
        <v>13.09</v>
      </c>
      <c r="G344" s="1">
        <v>28.24</v>
      </c>
      <c r="H344" s="1">
        <v>0</v>
      </c>
      <c r="I344" s="1">
        <v>0</v>
      </c>
      <c r="J344" s="1">
        <v>0</v>
      </c>
      <c r="K344" s="1">
        <f t="shared" si="5"/>
        <v>41.33</v>
      </c>
      <c r="L344" s="1" t="str">
        <f>_xlfn.XLOOKUP(A344,satellite_programs!A:A,satellite_programs!N:N)</f>
        <v>Retired</v>
      </c>
    </row>
    <row r="345" spans="1:12" x14ac:dyDescent="0.5">
      <c r="A345" s="1" t="s">
        <v>69</v>
      </c>
      <c r="B345" s="1" t="s">
        <v>67</v>
      </c>
      <c r="C345" s="1" t="s">
        <v>33</v>
      </c>
      <c r="D345" s="1">
        <v>2010</v>
      </c>
      <c r="E345" s="1" t="s">
        <v>28</v>
      </c>
      <c r="F345" s="1">
        <v>0</v>
      </c>
      <c r="G345" s="1">
        <v>0</v>
      </c>
      <c r="H345" s="1">
        <v>36.28</v>
      </c>
      <c r="I345" s="1">
        <v>23.16</v>
      </c>
      <c r="J345" s="1">
        <v>0</v>
      </c>
      <c r="K345" s="1">
        <f t="shared" si="5"/>
        <v>59.44</v>
      </c>
      <c r="L345" s="1" t="str">
        <f>_xlfn.XLOOKUP(A345,satellite_programs!A:A,satellite_programs!N:N)</f>
        <v>Retired</v>
      </c>
    </row>
    <row r="346" spans="1:12" x14ac:dyDescent="0.5">
      <c r="A346" s="1" t="s">
        <v>69</v>
      </c>
      <c r="B346" s="1" t="s">
        <v>67</v>
      </c>
      <c r="C346" s="1" t="s">
        <v>33</v>
      </c>
      <c r="D346" s="1">
        <v>2011</v>
      </c>
      <c r="E346" s="1" t="s">
        <v>28</v>
      </c>
      <c r="F346" s="1">
        <v>0</v>
      </c>
      <c r="G346" s="1">
        <v>0</v>
      </c>
      <c r="H346" s="1">
        <v>36.28</v>
      </c>
      <c r="I346" s="1">
        <v>23.85</v>
      </c>
      <c r="J346" s="1">
        <v>0</v>
      </c>
      <c r="K346" s="1">
        <f t="shared" si="5"/>
        <v>60.13</v>
      </c>
      <c r="L346" s="1" t="str">
        <f>_xlfn.XLOOKUP(A346,satellite_programs!A:A,satellite_programs!N:N)</f>
        <v>Retired</v>
      </c>
    </row>
    <row r="347" spans="1:12" x14ac:dyDescent="0.5">
      <c r="A347" s="1" t="s">
        <v>69</v>
      </c>
      <c r="B347" s="1" t="s">
        <v>67</v>
      </c>
      <c r="C347" s="1" t="s">
        <v>33</v>
      </c>
      <c r="D347" s="1">
        <v>2012</v>
      </c>
      <c r="E347" s="1" t="s">
        <v>28</v>
      </c>
      <c r="F347" s="1">
        <v>0</v>
      </c>
      <c r="G347" s="1">
        <v>0</v>
      </c>
      <c r="H347" s="1">
        <v>36.28</v>
      </c>
      <c r="I347" s="1">
        <v>24.55</v>
      </c>
      <c r="J347" s="1">
        <v>0</v>
      </c>
      <c r="K347" s="1">
        <f t="shared" si="5"/>
        <v>60.83</v>
      </c>
      <c r="L347" s="1" t="str">
        <f>_xlfn.XLOOKUP(A347,satellite_programs!A:A,satellite_programs!N:N)</f>
        <v>Retired</v>
      </c>
    </row>
    <row r="348" spans="1:12" x14ac:dyDescent="0.5">
      <c r="A348" s="1" t="s">
        <v>69</v>
      </c>
      <c r="B348" s="1" t="s">
        <v>67</v>
      </c>
      <c r="C348" s="1" t="s">
        <v>33</v>
      </c>
      <c r="D348" s="1">
        <v>2013</v>
      </c>
      <c r="E348" s="1" t="s">
        <v>28</v>
      </c>
      <c r="F348" s="1">
        <v>0</v>
      </c>
      <c r="G348" s="1">
        <v>0</v>
      </c>
      <c r="H348" s="1">
        <v>36.28</v>
      </c>
      <c r="I348" s="1">
        <v>25.24</v>
      </c>
      <c r="J348" s="1">
        <v>0</v>
      </c>
      <c r="K348" s="1">
        <f t="shared" si="5"/>
        <v>61.519999999999996</v>
      </c>
      <c r="L348" s="1" t="str">
        <f>_xlfn.XLOOKUP(A348,satellite_programs!A:A,satellite_programs!N:N)</f>
        <v>Retired</v>
      </c>
    </row>
    <row r="349" spans="1:12" x14ac:dyDescent="0.5">
      <c r="A349" s="1" t="s">
        <v>69</v>
      </c>
      <c r="B349" s="1" t="s">
        <v>67</v>
      </c>
      <c r="C349" s="1" t="s">
        <v>33</v>
      </c>
      <c r="D349" s="1">
        <v>2014</v>
      </c>
      <c r="E349" s="1" t="s">
        <v>28</v>
      </c>
      <c r="F349" s="1">
        <v>0</v>
      </c>
      <c r="G349" s="1">
        <v>0</v>
      </c>
      <c r="H349" s="1">
        <v>36.28</v>
      </c>
      <c r="I349" s="1">
        <v>25.94</v>
      </c>
      <c r="J349" s="1">
        <v>0</v>
      </c>
      <c r="K349" s="1">
        <f t="shared" si="5"/>
        <v>62.22</v>
      </c>
      <c r="L349" s="1" t="str">
        <f>_xlfn.XLOOKUP(A349,satellite_programs!A:A,satellite_programs!N:N)</f>
        <v>Retired</v>
      </c>
    </row>
    <row r="350" spans="1:12" x14ac:dyDescent="0.5">
      <c r="A350" s="1" t="s">
        <v>69</v>
      </c>
      <c r="B350" s="1" t="s">
        <v>67</v>
      </c>
      <c r="C350" s="1" t="s">
        <v>33</v>
      </c>
      <c r="D350" s="1">
        <v>2015</v>
      </c>
      <c r="E350" s="1" t="s">
        <v>28</v>
      </c>
      <c r="F350" s="1">
        <v>0</v>
      </c>
      <c r="G350" s="1">
        <v>0</v>
      </c>
      <c r="H350" s="1">
        <v>36.28</v>
      </c>
      <c r="I350" s="1">
        <v>26.63</v>
      </c>
      <c r="J350" s="1">
        <v>0</v>
      </c>
      <c r="K350" s="1">
        <f t="shared" si="5"/>
        <v>62.91</v>
      </c>
      <c r="L350" s="1" t="str">
        <f>_xlfn.XLOOKUP(A350,satellite_programs!A:A,satellite_programs!N:N)</f>
        <v>Retired</v>
      </c>
    </row>
    <row r="351" spans="1:12" x14ac:dyDescent="0.5">
      <c r="A351" s="1" t="s">
        <v>69</v>
      </c>
      <c r="B351" s="1" t="s">
        <v>67</v>
      </c>
      <c r="C351" s="1" t="s">
        <v>33</v>
      </c>
      <c r="D351" s="1">
        <v>2016</v>
      </c>
      <c r="E351" s="1" t="s">
        <v>28</v>
      </c>
      <c r="F351" s="1">
        <v>0</v>
      </c>
      <c r="G351" s="1">
        <v>0</v>
      </c>
      <c r="H351" s="1">
        <v>36.28</v>
      </c>
      <c r="I351" s="1">
        <v>27.33</v>
      </c>
      <c r="J351" s="1">
        <v>0</v>
      </c>
      <c r="K351" s="1">
        <f t="shared" si="5"/>
        <v>63.61</v>
      </c>
      <c r="L351" s="1" t="str">
        <f>_xlfn.XLOOKUP(A351,satellite_programs!A:A,satellite_programs!N:N)</f>
        <v>Retired</v>
      </c>
    </row>
    <row r="352" spans="1:12" x14ac:dyDescent="0.5">
      <c r="A352" s="1" t="s">
        <v>69</v>
      </c>
      <c r="B352" s="1" t="s">
        <v>67</v>
      </c>
      <c r="C352" s="1" t="s">
        <v>33</v>
      </c>
      <c r="D352" s="1">
        <v>2017</v>
      </c>
      <c r="E352" s="1" t="s">
        <v>28</v>
      </c>
      <c r="F352" s="1">
        <v>0</v>
      </c>
      <c r="G352" s="1">
        <v>0</v>
      </c>
      <c r="H352" s="1">
        <v>36.28</v>
      </c>
      <c r="I352" s="1">
        <v>28.02</v>
      </c>
      <c r="J352" s="1">
        <v>0</v>
      </c>
      <c r="K352" s="1">
        <f t="shared" si="5"/>
        <v>64.3</v>
      </c>
      <c r="L352" s="1" t="str">
        <f>_xlfn.XLOOKUP(A352,satellite_programs!A:A,satellite_programs!N:N)</f>
        <v>Retired</v>
      </c>
    </row>
    <row r="353" spans="1:12" x14ac:dyDescent="0.5">
      <c r="A353" s="1" t="s">
        <v>69</v>
      </c>
      <c r="B353" s="1" t="s">
        <v>67</v>
      </c>
      <c r="C353" s="1" t="s">
        <v>33</v>
      </c>
      <c r="D353" s="1">
        <v>2019</v>
      </c>
      <c r="E353" s="1" t="s">
        <v>103</v>
      </c>
      <c r="F353" s="1">
        <v>0</v>
      </c>
      <c r="G353" s="1">
        <v>0</v>
      </c>
      <c r="H353" s="1">
        <v>0</v>
      </c>
      <c r="I353" s="1">
        <v>0</v>
      </c>
      <c r="J353" s="1">
        <v>10.84</v>
      </c>
      <c r="K353" s="1">
        <f t="shared" si="5"/>
        <v>10.84</v>
      </c>
      <c r="L353" s="1" t="str">
        <f>_xlfn.XLOOKUP(A353,satellite_programs!A:A,satellite_programs!N:N)</f>
        <v>Retired</v>
      </c>
    </row>
    <row r="354" spans="1:12" x14ac:dyDescent="0.5">
      <c r="A354" s="1" t="s">
        <v>70</v>
      </c>
      <c r="B354" s="1" t="s">
        <v>67</v>
      </c>
      <c r="C354" s="1" t="s">
        <v>23</v>
      </c>
      <c r="D354" s="1">
        <v>2006</v>
      </c>
      <c r="E354" s="1" t="s">
        <v>104</v>
      </c>
      <c r="F354" s="1">
        <v>16.760000000000002</v>
      </c>
      <c r="G354" s="1">
        <v>0</v>
      </c>
      <c r="H354" s="1">
        <v>0</v>
      </c>
      <c r="I354" s="1">
        <v>0</v>
      </c>
      <c r="J354" s="1">
        <v>0</v>
      </c>
      <c r="K354" s="1">
        <f t="shared" si="5"/>
        <v>16.760000000000002</v>
      </c>
      <c r="L354" s="1" t="str">
        <f>_xlfn.XLOOKUP(A354,satellite_programs!A:A,satellite_programs!N:N)</f>
        <v>Operations</v>
      </c>
    </row>
    <row r="355" spans="1:12" x14ac:dyDescent="0.5">
      <c r="A355" s="1" t="s">
        <v>70</v>
      </c>
      <c r="B355" s="1" t="s">
        <v>67</v>
      </c>
      <c r="C355" s="1" t="s">
        <v>23</v>
      </c>
      <c r="D355" s="1">
        <v>2007</v>
      </c>
      <c r="E355" s="1" t="s">
        <v>104</v>
      </c>
      <c r="F355" s="1">
        <v>33.520000000000003</v>
      </c>
      <c r="G355" s="1">
        <v>0</v>
      </c>
      <c r="H355" s="1">
        <v>0</v>
      </c>
      <c r="I355" s="1">
        <v>0</v>
      </c>
      <c r="J355" s="1">
        <v>0</v>
      </c>
      <c r="K355" s="1">
        <f t="shared" si="5"/>
        <v>33.520000000000003</v>
      </c>
      <c r="L355" s="1" t="str">
        <f>_xlfn.XLOOKUP(A355,satellite_programs!A:A,satellite_programs!N:N)</f>
        <v>Operations</v>
      </c>
    </row>
    <row r="356" spans="1:12" x14ac:dyDescent="0.5">
      <c r="A356" s="1" t="s">
        <v>70</v>
      </c>
      <c r="B356" s="1" t="s">
        <v>67</v>
      </c>
      <c r="C356" s="1" t="s">
        <v>23</v>
      </c>
      <c r="D356" s="1">
        <v>2008</v>
      </c>
      <c r="E356" s="1" t="s">
        <v>104</v>
      </c>
      <c r="F356" s="1">
        <v>60.34</v>
      </c>
      <c r="G356" s="1">
        <v>0</v>
      </c>
      <c r="H356" s="1">
        <v>0</v>
      </c>
      <c r="I356" s="1">
        <v>0</v>
      </c>
      <c r="J356" s="1">
        <v>0</v>
      </c>
      <c r="K356" s="1">
        <f t="shared" si="5"/>
        <v>60.34</v>
      </c>
      <c r="L356" s="1" t="str">
        <f>_xlfn.XLOOKUP(A356,satellite_programs!A:A,satellite_programs!N:N)</f>
        <v>Operations</v>
      </c>
    </row>
    <row r="357" spans="1:12" x14ac:dyDescent="0.5">
      <c r="A357" s="1" t="s">
        <v>70</v>
      </c>
      <c r="B357" s="1" t="s">
        <v>67</v>
      </c>
      <c r="C357" s="1" t="s">
        <v>23</v>
      </c>
      <c r="D357" s="1">
        <v>2009</v>
      </c>
      <c r="E357" s="1" t="s">
        <v>104</v>
      </c>
      <c r="F357" s="1">
        <v>73.739999999999995</v>
      </c>
      <c r="G357" s="1">
        <v>0</v>
      </c>
      <c r="H357" s="1">
        <v>0</v>
      </c>
      <c r="I357" s="1">
        <v>0</v>
      </c>
      <c r="J357" s="1">
        <v>0</v>
      </c>
      <c r="K357" s="1">
        <f t="shared" si="5"/>
        <v>73.739999999999995</v>
      </c>
      <c r="L357" s="1" t="str">
        <f>_xlfn.XLOOKUP(A357,satellite_programs!A:A,satellite_programs!N:N)</f>
        <v>Operations</v>
      </c>
    </row>
    <row r="358" spans="1:12" x14ac:dyDescent="0.5">
      <c r="A358" s="1" t="s">
        <v>70</v>
      </c>
      <c r="B358" s="1" t="s">
        <v>67</v>
      </c>
      <c r="C358" s="1" t="s">
        <v>23</v>
      </c>
      <c r="D358" s="1">
        <v>2010</v>
      </c>
      <c r="E358" s="1" t="s">
        <v>104</v>
      </c>
      <c r="F358" s="1">
        <v>67.040000000000006</v>
      </c>
      <c r="G358" s="1">
        <v>0</v>
      </c>
      <c r="H358" s="1">
        <v>0</v>
      </c>
      <c r="I358" s="1">
        <v>0</v>
      </c>
      <c r="J358" s="1">
        <v>0</v>
      </c>
      <c r="K358" s="1">
        <f t="shared" si="5"/>
        <v>67.040000000000006</v>
      </c>
      <c r="L358" s="1" t="str">
        <f>_xlfn.XLOOKUP(A358,satellite_programs!A:A,satellite_programs!N:N)</f>
        <v>Operations</v>
      </c>
    </row>
    <row r="359" spans="1:12" x14ac:dyDescent="0.5">
      <c r="A359" s="1" t="s">
        <v>70</v>
      </c>
      <c r="B359" s="1" t="s">
        <v>67</v>
      </c>
      <c r="C359" s="1" t="s">
        <v>23</v>
      </c>
      <c r="D359" s="1">
        <v>2011</v>
      </c>
      <c r="E359" s="1" t="s">
        <v>104</v>
      </c>
      <c r="F359" s="1">
        <v>43.58</v>
      </c>
      <c r="G359" s="1">
        <v>70.8</v>
      </c>
      <c r="H359" s="1">
        <v>0</v>
      </c>
      <c r="I359" s="1">
        <v>0</v>
      </c>
      <c r="J359" s="1">
        <v>0</v>
      </c>
      <c r="K359" s="1">
        <f t="shared" si="5"/>
        <v>114.38</v>
      </c>
      <c r="L359" s="1" t="str">
        <f>_xlfn.XLOOKUP(A359,satellite_programs!A:A,satellite_programs!N:N)</f>
        <v>Operations</v>
      </c>
    </row>
    <row r="360" spans="1:12" x14ac:dyDescent="0.5">
      <c r="A360" s="1" t="s">
        <v>70</v>
      </c>
      <c r="B360" s="1" t="s">
        <v>67</v>
      </c>
      <c r="C360" s="1" t="s">
        <v>23</v>
      </c>
      <c r="D360" s="1">
        <v>2012</v>
      </c>
      <c r="E360" s="1" t="s">
        <v>104</v>
      </c>
      <c r="F360" s="1">
        <v>26.81</v>
      </c>
      <c r="G360" s="1">
        <v>57.92</v>
      </c>
      <c r="H360" s="1">
        <v>0</v>
      </c>
      <c r="I360" s="1">
        <v>0</v>
      </c>
      <c r="J360" s="1">
        <v>0</v>
      </c>
      <c r="K360" s="1">
        <f t="shared" si="5"/>
        <v>84.73</v>
      </c>
      <c r="L360" s="1" t="str">
        <f>_xlfn.XLOOKUP(A360,satellite_programs!A:A,satellite_programs!N:N)</f>
        <v>Operations</v>
      </c>
    </row>
    <row r="361" spans="1:12" x14ac:dyDescent="0.5">
      <c r="A361" s="1" t="s">
        <v>70</v>
      </c>
      <c r="B361" s="1" t="s">
        <v>67</v>
      </c>
      <c r="C361" s="1" t="s">
        <v>23</v>
      </c>
      <c r="D361" s="1">
        <v>2013</v>
      </c>
      <c r="E361" s="1" t="s">
        <v>28</v>
      </c>
      <c r="F361" s="1">
        <v>0</v>
      </c>
      <c r="G361" s="1">
        <v>0</v>
      </c>
      <c r="H361" s="1">
        <v>53.6</v>
      </c>
      <c r="I361" s="1">
        <v>21.36</v>
      </c>
      <c r="J361" s="1">
        <v>0</v>
      </c>
      <c r="K361" s="1">
        <f t="shared" si="5"/>
        <v>74.960000000000008</v>
      </c>
      <c r="L361" s="1" t="str">
        <f>_xlfn.XLOOKUP(A361,satellite_programs!A:A,satellite_programs!N:N)</f>
        <v>Operations</v>
      </c>
    </row>
    <row r="362" spans="1:12" x14ac:dyDescent="0.5">
      <c r="A362" s="1" t="s">
        <v>70</v>
      </c>
      <c r="B362" s="1" t="s">
        <v>67</v>
      </c>
      <c r="C362" s="1" t="s">
        <v>23</v>
      </c>
      <c r="D362" s="1">
        <v>2014</v>
      </c>
      <c r="E362" s="1" t="s">
        <v>28</v>
      </c>
      <c r="F362" s="1">
        <v>0</v>
      </c>
      <c r="G362" s="1">
        <v>0</v>
      </c>
      <c r="H362" s="1">
        <v>53.6</v>
      </c>
      <c r="I362" s="1">
        <v>22</v>
      </c>
      <c r="J362" s="1">
        <v>0</v>
      </c>
      <c r="K362" s="1">
        <f t="shared" si="5"/>
        <v>75.599999999999994</v>
      </c>
      <c r="L362" s="1" t="str">
        <f>_xlfn.XLOOKUP(A362,satellite_programs!A:A,satellite_programs!N:N)</f>
        <v>Operations</v>
      </c>
    </row>
    <row r="363" spans="1:12" x14ac:dyDescent="0.5">
      <c r="A363" s="1" t="s">
        <v>70</v>
      </c>
      <c r="B363" s="1" t="s">
        <v>67</v>
      </c>
      <c r="C363" s="1" t="s">
        <v>23</v>
      </c>
      <c r="D363" s="1">
        <v>2015</v>
      </c>
      <c r="E363" s="1" t="s">
        <v>28</v>
      </c>
      <c r="F363" s="1">
        <v>0</v>
      </c>
      <c r="G363" s="1">
        <v>0</v>
      </c>
      <c r="H363" s="1">
        <v>53.6</v>
      </c>
      <c r="I363" s="1">
        <v>22.64</v>
      </c>
      <c r="J363" s="1">
        <v>0</v>
      </c>
      <c r="K363" s="1">
        <f t="shared" si="5"/>
        <v>76.240000000000009</v>
      </c>
      <c r="L363" s="1" t="str">
        <f>_xlfn.XLOOKUP(A363,satellite_programs!A:A,satellite_programs!N:N)</f>
        <v>Operations</v>
      </c>
    </row>
    <row r="364" spans="1:12" x14ac:dyDescent="0.5">
      <c r="A364" s="1" t="s">
        <v>70</v>
      </c>
      <c r="B364" s="1" t="s">
        <v>67</v>
      </c>
      <c r="C364" s="1" t="s">
        <v>23</v>
      </c>
      <c r="D364" s="1">
        <v>2016</v>
      </c>
      <c r="E364" s="1" t="s">
        <v>28</v>
      </c>
      <c r="F364" s="1">
        <v>0</v>
      </c>
      <c r="G364" s="1">
        <v>0</v>
      </c>
      <c r="H364" s="1">
        <v>53.6</v>
      </c>
      <c r="I364" s="1">
        <v>23.28</v>
      </c>
      <c r="J364" s="1">
        <v>0</v>
      </c>
      <c r="K364" s="1">
        <f t="shared" si="5"/>
        <v>76.88</v>
      </c>
      <c r="L364" s="1" t="str">
        <f>_xlfn.XLOOKUP(A364,satellite_programs!A:A,satellite_programs!N:N)</f>
        <v>Operations</v>
      </c>
    </row>
    <row r="365" spans="1:12" x14ac:dyDescent="0.5">
      <c r="A365" s="1" t="s">
        <v>70</v>
      </c>
      <c r="B365" s="1" t="s">
        <v>67</v>
      </c>
      <c r="C365" s="1" t="s">
        <v>23</v>
      </c>
      <c r="D365" s="1">
        <v>2017</v>
      </c>
      <c r="E365" s="1" t="s">
        <v>28</v>
      </c>
      <c r="F365" s="1">
        <v>0</v>
      </c>
      <c r="G365" s="1">
        <v>0</v>
      </c>
      <c r="H365" s="1">
        <v>53.6</v>
      </c>
      <c r="I365" s="1">
        <v>23.92</v>
      </c>
      <c r="J365" s="1">
        <v>0</v>
      </c>
      <c r="K365" s="1">
        <f t="shared" si="5"/>
        <v>77.52000000000001</v>
      </c>
      <c r="L365" s="1" t="str">
        <f>_xlfn.XLOOKUP(A365,satellite_programs!A:A,satellite_programs!N:N)</f>
        <v>Operations</v>
      </c>
    </row>
    <row r="366" spans="1:12" x14ac:dyDescent="0.5">
      <c r="A366" s="1" t="s">
        <v>70</v>
      </c>
      <c r="B366" s="1" t="s">
        <v>67</v>
      </c>
      <c r="C366" s="1" t="s">
        <v>23</v>
      </c>
      <c r="D366" s="1">
        <v>2018</v>
      </c>
      <c r="E366" s="1" t="s">
        <v>28</v>
      </c>
      <c r="F366" s="1">
        <v>0</v>
      </c>
      <c r="G366" s="1">
        <v>0</v>
      </c>
      <c r="H366" s="1">
        <v>53.6</v>
      </c>
      <c r="I366" s="1">
        <v>24.56</v>
      </c>
      <c r="J366" s="1">
        <v>0</v>
      </c>
      <c r="K366" s="1">
        <f t="shared" si="5"/>
        <v>78.16</v>
      </c>
      <c r="L366" s="1" t="str">
        <f>_xlfn.XLOOKUP(A366,satellite_programs!A:A,satellite_programs!N:N)</f>
        <v>Operations</v>
      </c>
    </row>
    <row r="367" spans="1:12" x14ac:dyDescent="0.5">
      <c r="A367" s="1" t="s">
        <v>70</v>
      </c>
      <c r="B367" s="1" t="s">
        <v>67</v>
      </c>
      <c r="C367" s="1" t="s">
        <v>23</v>
      </c>
      <c r="D367" s="1">
        <v>2019</v>
      </c>
      <c r="E367" s="1" t="s">
        <v>28</v>
      </c>
      <c r="F367" s="1">
        <v>0</v>
      </c>
      <c r="G367" s="1">
        <v>0</v>
      </c>
      <c r="H367" s="1">
        <v>53.6</v>
      </c>
      <c r="I367" s="1">
        <v>25.2</v>
      </c>
      <c r="J367" s="1">
        <v>0</v>
      </c>
      <c r="K367" s="1">
        <f t="shared" si="5"/>
        <v>78.8</v>
      </c>
      <c r="L367" s="1" t="str">
        <f>_xlfn.XLOOKUP(A367,satellite_programs!A:A,satellite_programs!N:N)</f>
        <v>Operations</v>
      </c>
    </row>
    <row r="368" spans="1:12" x14ac:dyDescent="0.5">
      <c r="A368" s="1" t="s">
        <v>70</v>
      </c>
      <c r="B368" s="1" t="s">
        <v>67</v>
      </c>
      <c r="C368" s="1" t="s">
        <v>23</v>
      </c>
      <c r="D368" s="1">
        <v>2020</v>
      </c>
      <c r="E368" s="1" t="s">
        <v>28</v>
      </c>
      <c r="F368" s="1">
        <v>0</v>
      </c>
      <c r="G368" s="1">
        <v>0</v>
      </c>
      <c r="H368" s="1">
        <v>53.6</v>
      </c>
      <c r="I368" s="1">
        <v>25.85</v>
      </c>
      <c r="J368" s="1">
        <v>0</v>
      </c>
      <c r="K368" s="1">
        <f t="shared" si="5"/>
        <v>79.45</v>
      </c>
      <c r="L368" s="1" t="str">
        <f>_xlfn.XLOOKUP(A368,satellite_programs!A:A,satellite_programs!N:N)</f>
        <v>Operations</v>
      </c>
    </row>
    <row r="369" spans="1:12" x14ac:dyDescent="0.5">
      <c r="A369" s="1" t="s">
        <v>70</v>
      </c>
      <c r="B369" s="1" t="s">
        <v>67</v>
      </c>
      <c r="C369" s="1" t="s">
        <v>23</v>
      </c>
      <c r="D369" s="1">
        <v>2021</v>
      </c>
      <c r="E369" s="1" t="s">
        <v>28</v>
      </c>
      <c r="F369" s="1">
        <v>0</v>
      </c>
      <c r="G369" s="1">
        <v>0</v>
      </c>
      <c r="H369" s="1">
        <v>53.6</v>
      </c>
      <c r="I369" s="1">
        <v>26.49</v>
      </c>
      <c r="J369" s="1">
        <v>0</v>
      </c>
      <c r="K369" s="1">
        <f t="shared" si="5"/>
        <v>80.09</v>
      </c>
      <c r="L369" s="1" t="str">
        <f>_xlfn.XLOOKUP(A369,satellite_programs!A:A,satellite_programs!N:N)</f>
        <v>Operations</v>
      </c>
    </row>
    <row r="370" spans="1:12" x14ac:dyDescent="0.5">
      <c r="A370" s="1" t="s">
        <v>70</v>
      </c>
      <c r="B370" s="1" t="s">
        <v>67</v>
      </c>
      <c r="C370" s="1" t="s">
        <v>23</v>
      </c>
      <c r="D370" s="1">
        <v>2022</v>
      </c>
      <c r="E370" s="1" t="s">
        <v>28</v>
      </c>
      <c r="F370" s="1">
        <v>0</v>
      </c>
      <c r="G370" s="1">
        <v>0</v>
      </c>
      <c r="H370" s="1">
        <v>53.6</v>
      </c>
      <c r="I370" s="1">
        <v>27.13</v>
      </c>
      <c r="J370" s="1">
        <v>0</v>
      </c>
      <c r="K370" s="1">
        <f t="shared" si="5"/>
        <v>80.73</v>
      </c>
      <c r="L370" s="1" t="str">
        <f>_xlfn.XLOOKUP(A370,satellite_programs!A:A,satellite_programs!N:N)</f>
        <v>Operations</v>
      </c>
    </row>
    <row r="371" spans="1:12" x14ac:dyDescent="0.5">
      <c r="A371" s="1" t="s">
        <v>70</v>
      </c>
      <c r="B371" s="1" t="s">
        <v>67</v>
      </c>
      <c r="C371" s="1" t="s">
        <v>23</v>
      </c>
      <c r="D371" s="1">
        <v>2023</v>
      </c>
      <c r="E371" s="1" t="s">
        <v>28</v>
      </c>
      <c r="F371" s="1">
        <v>0</v>
      </c>
      <c r="G371" s="1">
        <v>0</v>
      </c>
      <c r="H371" s="1">
        <v>53.6</v>
      </c>
      <c r="I371" s="1">
        <v>27.77</v>
      </c>
      <c r="J371" s="1">
        <v>0</v>
      </c>
      <c r="K371" s="1">
        <f t="shared" si="5"/>
        <v>81.37</v>
      </c>
      <c r="L371" s="1" t="str">
        <f>_xlfn.XLOOKUP(A371,satellite_programs!A:A,satellite_programs!N:N)</f>
        <v>Operations</v>
      </c>
    </row>
    <row r="372" spans="1:12" x14ac:dyDescent="0.5">
      <c r="A372" s="1" t="s">
        <v>70</v>
      </c>
      <c r="B372" s="1" t="s">
        <v>67</v>
      </c>
      <c r="C372" s="1" t="s">
        <v>23</v>
      </c>
      <c r="D372" s="1">
        <v>2024</v>
      </c>
      <c r="E372" s="1" t="s">
        <v>28</v>
      </c>
      <c r="F372" s="1">
        <v>0</v>
      </c>
      <c r="G372" s="1">
        <v>0</v>
      </c>
      <c r="H372" s="1">
        <v>53.6</v>
      </c>
      <c r="I372" s="1">
        <v>28.41</v>
      </c>
      <c r="J372" s="1">
        <v>0</v>
      </c>
      <c r="K372" s="1">
        <f t="shared" si="5"/>
        <v>82.01</v>
      </c>
      <c r="L372" s="1" t="str">
        <f>_xlfn.XLOOKUP(A372,satellite_programs!A:A,satellite_programs!N:N)</f>
        <v>Operations</v>
      </c>
    </row>
    <row r="373" spans="1:12" x14ac:dyDescent="0.5">
      <c r="A373" s="1" t="s">
        <v>70</v>
      </c>
      <c r="B373" s="1" t="s">
        <v>67</v>
      </c>
      <c r="C373" s="1" t="s">
        <v>23</v>
      </c>
      <c r="D373" s="1">
        <v>2026</v>
      </c>
      <c r="E373" s="1" t="s">
        <v>103</v>
      </c>
      <c r="F373" s="1">
        <v>0</v>
      </c>
      <c r="G373" s="1">
        <v>0</v>
      </c>
      <c r="H373" s="1">
        <v>0</v>
      </c>
      <c r="I373" s="1">
        <v>0</v>
      </c>
      <c r="J373" s="1">
        <v>23.6</v>
      </c>
      <c r="K373" s="1">
        <f t="shared" si="5"/>
        <v>23.6</v>
      </c>
      <c r="L373" s="1" t="str">
        <f>_xlfn.XLOOKUP(A373,satellite_programs!A:A,satellite_programs!N:N)</f>
        <v>Operations</v>
      </c>
    </row>
    <row r="374" spans="1:12" x14ac:dyDescent="0.5">
      <c r="A374" s="1" t="s">
        <v>71</v>
      </c>
      <c r="B374" s="1" t="s">
        <v>67</v>
      </c>
      <c r="C374" s="1" t="s">
        <v>23</v>
      </c>
      <c r="D374" s="1">
        <v>2009</v>
      </c>
      <c r="E374" s="1" t="s">
        <v>104</v>
      </c>
      <c r="F374" s="1">
        <v>18.350000000000001</v>
      </c>
      <c r="G374" s="1">
        <v>0</v>
      </c>
      <c r="H374" s="1">
        <v>0</v>
      </c>
      <c r="I374" s="1">
        <v>0</v>
      </c>
      <c r="J374" s="1">
        <v>0</v>
      </c>
      <c r="K374" s="1">
        <f t="shared" si="5"/>
        <v>18.350000000000001</v>
      </c>
      <c r="L374" s="1" t="str">
        <f>_xlfn.XLOOKUP(A374,satellite_programs!A:A,satellite_programs!N:N)</f>
        <v>Operations</v>
      </c>
    </row>
    <row r="375" spans="1:12" x14ac:dyDescent="0.5">
      <c r="A375" s="1" t="s">
        <v>71</v>
      </c>
      <c r="B375" s="1" t="s">
        <v>67</v>
      </c>
      <c r="C375" s="1" t="s">
        <v>23</v>
      </c>
      <c r="D375" s="1">
        <v>2010</v>
      </c>
      <c r="E375" s="1" t="s">
        <v>104</v>
      </c>
      <c r="F375" s="1">
        <v>36.69</v>
      </c>
      <c r="G375" s="1">
        <v>0</v>
      </c>
      <c r="H375" s="1">
        <v>0</v>
      </c>
      <c r="I375" s="1">
        <v>0</v>
      </c>
      <c r="J375" s="1">
        <v>0</v>
      </c>
      <c r="K375" s="1">
        <f t="shared" si="5"/>
        <v>36.69</v>
      </c>
      <c r="L375" s="1" t="str">
        <f>_xlfn.XLOOKUP(A375,satellite_programs!A:A,satellite_programs!N:N)</f>
        <v>Operations</v>
      </c>
    </row>
    <row r="376" spans="1:12" x14ac:dyDescent="0.5">
      <c r="A376" s="1" t="s">
        <v>71</v>
      </c>
      <c r="B376" s="1" t="s">
        <v>67</v>
      </c>
      <c r="C376" s="1" t="s">
        <v>23</v>
      </c>
      <c r="D376" s="1">
        <v>2011</v>
      </c>
      <c r="E376" s="1" t="s">
        <v>104</v>
      </c>
      <c r="F376" s="1">
        <v>66.05</v>
      </c>
      <c r="G376" s="1">
        <v>0</v>
      </c>
      <c r="H376" s="1">
        <v>0</v>
      </c>
      <c r="I376" s="1">
        <v>0</v>
      </c>
      <c r="J376" s="1">
        <v>0</v>
      </c>
      <c r="K376" s="1">
        <f t="shared" si="5"/>
        <v>66.05</v>
      </c>
      <c r="L376" s="1" t="str">
        <f>_xlfn.XLOOKUP(A376,satellite_programs!A:A,satellite_programs!N:N)</f>
        <v>Operations</v>
      </c>
    </row>
    <row r="377" spans="1:12" x14ac:dyDescent="0.5">
      <c r="A377" s="1" t="s">
        <v>71</v>
      </c>
      <c r="B377" s="1" t="s">
        <v>67</v>
      </c>
      <c r="C377" s="1" t="s">
        <v>23</v>
      </c>
      <c r="D377" s="1">
        <v>2012</v>
      </c>
      <c r="E377" s="1" t="s">
        <v>104</v>
      </c>
      <c r="F377" s="1">
        <v>80.72</v>
      </c>
      <c r="G377" s="1">
        <v>0</v>
      </c>
      <c r="H377" s="1">
        <v>0</v>
      </c>
      <c r="I377" s="1">
        <v>0</v>
      </c>
      <c r="J377" s="1">
        <v>0</v>
      </c>
      <c r="K377" s="1">
        <f t="shared" si="5"/>
        <v>80.72</v>
      </c>
      <c r="L377" s="1" t="str">
        <f>_xlfn.XLOOKUP(A377,satellite_programs!A:A,satellite_programs!N:N)</f>
        <v>Operations</v>
      </c>
    </row>
    <row r="378" spans="1:12" x14ac:dyDescent="0.5">
      <c r="A378" s="1" t="s">
        <v>71</v>
      </c>
      <c r="B378" s="1" t="s">
        <v>67</v>
      </c>
      <c r="C378" s="1" t="s">
        <v>23</v>
      </c>
      <c r="D378" s="1">
        <v>2013</v>
      </c>
      <c r="E378" s="1" t="s">
        <v>104</v>
      </c>
      <c r="F378" s="1">
        <v>73.39</v>
      </c>
      <c r="G378" s="1">
        <v>0</v>
      </c>
      <c r="H378" s="1">
        <v>0</v>
      </c>
      <c r="I378" s="1">
        <v>0</v>
      </c>
      <c r="J378" s="1">
        <v>0</v>
      </c>
      <c r="K378" s="1">
        <f t="shared" si="5"/>
        <v>73.39</v>
      </c>
      <c r="L378" s="1" t="str">
        <f>_xlfn.XLOOKUP(A378,satellite_programs!A:A,satellite_programs!N:N)</f>
        <v>Operations</v>
      </c>
    </row>
    <row r="379" spans="1:12" x14ac:dyDescent="0.5">
      <c r="A379" s="1" t="s">
        <v>71</v>
      </c>
      <c r="B379" s="1" t="s">
        <v>67</v>
      </c>
      <c r="C379" s="1" t="s">
        <v>23</v>
      </c>
      <c r="D379" s="1">
        <v>2014</v>
      </c>
      <c r="E379" s="1" t="s">
        <v>104</v>
      </c>
      <c r="F379" s="1">
        <v>47.7</v>
      </c>
      <c r="G379" s="1">
        <v>77.5</v>
      </c>
      <c r="H379" s="1">
        <v>0</v>
      </c>
      <c r="I379" s="1">
        <v>0</v>
      </c>
      <c r="J379" s="1">
        <v>0</v>
      </c>
      <c r="K379" s="1">
        <f t="shared" si="5"/>
        <v>125.2</v>
      </c>
      <c r="L379" s="1" t="str">
        <f>_xlfn.XLOOKUP(A379,satellite_programs!A:A,satellite_programs!N:N)</f>
        <v>Operations</v>
      </c>
    </row>
    <row r="380" spans="1:12" x14ac:dyDescent="0.5">
      <c r="A380" s="1" t="s">
        <v>71</v>
      </c>
      <c r="B380" s="1" t="s">
        <v>67</v>
      </c>
      <c r="C380" s="1" t="s">
        <v>23</v>
      </c>
      <c r="D380" s="1">
        <v>2015</v>
      </c>
      <c r="E380" s="1" t="s">
        <v>104</v>
      </c>
      <c r="F380" s="1">
        <v>29.35</v>
      </c>
      <c r="G380" s="1">
        <v>63.4</v>
      </c>
      <c r="H380" s="1">
        <v>0</v>
      </c>
      <c r="I380" s="1">
        <v>0</v>
      </c>
      <c r="J380" s="1">
        <v>0</v>
      </c>
      <c r="K380" s="1">
        <f t="shared" si="5"/>
        <v>92.75</v>
      </c>
      <c r="L380" s="1" t="str">
        <f>_xlfn.XLOOKUP(A380,satellite_programs!A:A,satellite_programs!N:N)</f>
        <v>Operations</v>
      </c>
    </row>
    <row r="381" spans="1:12" x14ac:dyDescent="0.5">
      <c r="A381" s="1" t="s">
        <v>71</v>
      </c>
      <c r="B381" s="1" t="s">
        <v>67</v>
      </c>
      <c r="C381" s="1" t="s">
        <v>23</v>
      </c>
      <c r="D381" s="1">
        <v>2016</v>
      </c>
      <c r="E381" s="1" t="s">
        <v>28</v>
      </c>
      <c r="F381" s="1">
        <v>0</v>
      </c>
      <c r="G381" s="1">
        <v>0</v>
      </c>
      <c r="H381" s="1">
        <v>56.6</v>
      </c>
      <c r="I381" s="1">
        <v>22.2</v>
      </c>
      <c r="J381" s="1">
        <v>0</v>
      </c>
      <c r="K381" s="1">
        <f t="shared" si="5"/>
        <v>78.8</v>
      </c>
      <c r="L381" s="1" t="str">
        <f>_xlfn.XLOOKUP(A381,satellite_programs!A:A,satellite_programs!N:N)</f>
        <v>Operations</v>
      </c>
    </row>
    <row r="382" spans="1:12" x14ac:dyDescent="0.5">
      <c r="A382" s="1" t="s">
        <v>71</v>
      </c>
      <c r="B382" s="1" t="s">
        <v>67</v>
      </c>
      <c r="C382" s="1" t="s">
        <v>23</v>
      </c>
      <c r="D382" s="1">
        <v>2017</v>
      </c>
      <c r="E382" s="1" t="s">
        <v>28</v>
      </c>
      <c r="F382" s="1">
        <v>0</v>
      </c>
      <c r="G382" s="1">
        <v>0</v>
      </c>
      <c r="H382" s="1">
        <v>56.6</v>
      </c>
      <c r="I382" s="1">
        <v>22.87</v>
      </c>
      <c r="J382" s="1">
        <v>0</v>
      </c>
      <c r="K382" s="1">
        <f t="shared" si="5"/>
        <v>79.47</v>
      </c>
      <c r="L382" s="1" t="str">
        <f>_xlfn.XLOOKUP(A382,satellite_programs!A:A,satellite_programs!N:N)</f>
        <v>Operations</v>
      </c>
    </row>
    <row r="383" spans="1:12" x14ac:dyDescent="0.5">
      <c r="A383" s="1" t="s">
        <v>71</v>
      </c>
      <c r="B383" s="1" t="s">
        <v>67</v>
      </c>
      <c r="C383" s="1" t="s">
        <v>23</v>
      </c>
      <c r="D383" s="1">
        <v>2018</v>
      </c>
      <c r="E383" s="1" t="s">
        <v>28</v>
      </c>
      <c r="F383" s="1">
        <v>0</v>
      </c>
      <c r="G383" s="1">
        <v>0</v>
      </c>
      <c r="H383" s="1">
        <v>56.6</v>
      </c>
      <c r="I383" s="1">
        <v>23.53</v>
      </c>
      <c r="J383" s="1">
        <v>0</v>
      </c>
      <c r="K383" s="1">
        <f t="shared" si="5"/>
        <v>80.13</v>
      </c>
      <c r="L383" s="1" t="str">
        <f>_xlfn.XLOOKUP(A383,satellite_programs!A:A,satellite_programs!N:N)</f>
        <v>Operations</v>
      </c>
    </row>
    <row r="384" spans="1:12" x14ac:dyDescent="0.5">
      <c r="A384" s="1" t="s">
        <v>71</v>
      </c>
      <c r="B384" s="1" t="s">
        <v>67</v>
      </c>
      <c r="C384" s="1" t="s">
        <v>23</v>
      </c>
      <c r="D384" s="1">
        <v>2019</v>
      </c>
      <c r="E384" s="1" t="s">
        <v>28</v>
      </c>
      <c r="F384" s="1">
        <v>0</v>
      </c>
      <c r="G384" s="1">
        <v>0</v>
      </c>
      <c r="H384" s="1">
        <v>56.6</v>
      </c>
      <c r="I384" s="1">
        <v>24.2</v>
      </c>
      <c r="J384" s="1">
        <v>0</v>
      </c>
      <c r="K384" s="1">
        <f t="shared" si="5"/>
        <v>80.8</v>
      </c>
      <c r="L384" s="1" t="str">
        <f>_xlfn.XLOOKUP(A384,satellite_programs!A:A,satellite_programs!N:N)</f>
        <v>Operations</v>
      </c>
    </row>
    <row r="385" spans="1:12" x14ac:dyDescent="0.5">
      <c r="A385" s="1" t="s">
        <v>71</v>
      </c>
      <c r="B385" s="1" t="s">
        <v>67</v>
      </c>
      <c r="C385" s="1" t="s">
        <v>23</v>
      </c>
      <c r="D385" s="1">
        <v>2020</v>
      </c>
      <c r="E385" s="1" t="s">
        <v>28</v>
      </c>
      <c r="F385" s="1">
        <v>0</v>
      </c>
      <c r="G385" s="1">
        <v>0</v>
      </c>
      <c r="H385" s="1">
        <v>56.6</v>
      </c>
      <c r="I385" s="1">
        <v>24.86</v>
      </c>
      <c r="J385" s="1">
        <v>0</v>
      </c>
      <c r="K385" s="1">
        <f t="shared" si="5"/>
        <v>81.460000000000008</v>
      </c>
      <c r="L385" s="1" t="str">
        <f>_xlfn.XLOOKUP(A385,satellite_programs!A:A,satellite_programs!N:N)</f>
        <v>Operations</v>
      </c>
    </row>
    <row r="386" spans="1:12" x14ac:dyDescent="0.5">
      <c r="A386" s="1" t="s">
        <v>71</v>
      </c>
      <c r="B386" s="1" t="s">
        <v>67</v>
      </c>
      <c r="C386" s="1" t="s">
        <v>23</v>
      </c>
      <c r="D386" s="1">
        <v>2021</v>
      </c>
      <c r="E386" s="1" t="s">
        <v>28</v>
      </c>
      <c r="F386" s="1">
        <v>0</v>
      </c>
      <c r="G386" s="1">
        <v>0</v>
      </c>
      <c r="H386" s="1">
        <v>56.6</v>
      </c>
      <c r="I386" s="1">
        <v>25.53</v>
      </c>
      <c r="J386" s="1">
        <v>0</v>
      </c>
      <c r="K386" s="1">
        <f t="shared" ref="K386:K449" si="6">SUM(F386:J386)</f>
        <v>82.13</v>
      </c>
      <c r="L386" s="1" t="str">
        <f>_xlfn.XLOOKUP(A386,satellite_programs!A:A,satellite_programs!N:N)</f>
        <v>Operations</v>
      </c>
    </row>
    <row r="387" spans="1:12" x14ac:dyDescent="0.5">
      <c r="A387" s="1" t="s">
        <v>71</v>
      </c>
      <c r="B387" s="1" t="s">
        <v>67</v>
      </c>
      <c r="C387" s="1" t="s">
        <v>23</v>
      </c>
      <c r="D387" s="1">
        <v>2022</v>
      </c>
      <c r="E387" s="1" t="s">
        <v>28</v>
      </c>
      <c r="F387" s="1">
        <v>0</v>
      </c>
      <c r="G387" s="1">
        <v>0</v>
      </c>
      <c r="H387" s="1">
        <v>56.6</v>
      </c>
      <c r="I387" s="1">
        <v>26.2</v>
      </c>
      <c r="J387" s="1">
        <v>0</v>
      </c>
      <c r="K387" s="1">
        <f t="shared" si="6"/>
        <v>82.8</v>
      </c>
      <c r="L387" s="1" t="str">
        <f>_xlfn.XLOOKUP(A387,satellite_programs!A:A,satellite_programs!N:N)</f>
        <v>Operations</v>
      </c>
    </row>
    <row r="388" spans="1:12" x14ac:dyDescent="0.5">
      <c r="A388" s="1" t="s">
        <v>71</v>
      </c>
      <c r="B388" s="1" t="s">
        <v>67</v>
      </c>
      <c r="C388" s="1" t="s">
        <v>23</v>
      </c>
      <c r="D388" s="1">
        <v>2023</v>
      </c>
      <c r="E388" s="1" t="s">
        <v>28</v>
      </c>
      <c r="F388" s="1">
        <v>0</v>
      </c>
      <c r="G388" s="1">
        <v>0</v>
      </c>
      <c r="H388" s="1">
        <v>56.6</v>
      </c>
      <c r="I388" s="1">
        <v>26.86</v>
      </c>
      <c r="J388" s="1">
        <v>0</v>
      </c>
      <c r="K388" s="1">
        <f t="shared" si="6"/>
        <v>83.460000000000008</v>
      </c>
      <c r="L388" s="1" t="str">
        <f>_xlfn.XLOOKUP(A388,satellite_programs!A:A,satellite_programs!N:N)</f>
        <v>Operations</v>
      </c>
    </row>
    <row r="389" spans="1:12" x14ac:dyDescent="0.5">
      <c r="A389" s="1" t="s">
        <v>71</v>
      </c>
      <c r="B389" s="1" t="s">
        <v>67</v>
      </c>
      <c r="C389" s="1" t="s">
        <v>23</v>
      </c>
      <c r="D389" s="1">
        <v>2024</v>
      </c>
      <c r="E389" s="1" t="s">
        <v>28</v>
      </c>
      <c r="F389" s="1">
        <v>0</v>
      </c>
      <c r="G389" s="1">
        <v>0</v>
      </c>
      <c r="H389" s="1">
        <v>56.6</v>
      </c>
      <c r="I389" s="1">
        <v>27.53</v>
      </c>
      <c r="J389" s="1">
        <v>0</v>
      </c>
      <c r="K389" s="1">
        <f t="shared" si="6"/>
        <v>84.13</v>
      </c>
      <c r="L389" s="1" t="str">
        <f>_xlfn.XLOOKUP(A389,satellite_programs!A:A,satellite_programs!N:N)</f>
        <v>Operations</v>
      </c>
    </row>
    <row r="390" spans="1:12" x14ac:dyDescent="0.5">
      <c r="A390" s="1" t="s">
        <v>71</v>
      </c>
      <c r="B390" s="1" t="s">
        <v>67</v>
      </c>
      <c r="C390" s="1" t="s">
        <v>23</v>
      </c>
      <c r="D390" s="1">
        <v>2025</v>
      </c>
      <c r="E390" s="1" t="s">
        <v>28</v>
      </c>
      <c r="F390" s="1">
        <v>0</v>
      </c>
      <c r="G390" s="1">
        <v>0</v>
      </c>
      <c r="H390" s="1">
        <v>56.6</v>
      </c>
      <c r="I390" s="1">
        <v>28.19</v>
      </c>
      <c r="J390" s="1">
        <v>0</v>
      </c>
      <c r="K390" s="1">
        <f t="shared" si="6"/>
        <v>84.79</v>
      </c>
      <c r="L390" s="1" t="str">
        <f>_xlfn.XLOOKUP(A390,satellite_programs!A:A,satellite_programs!N:N)</f>
        <v>Operations</v>
      </c>
    </row>
    <row r="391" spans="1:12" x14ac:dyDescent="0.5">
      <c r="A391" s="1" t="s">
        <v>71</v>
      </c>
      <c r="B391" s="1" t="s">
        <v>67</v>
      </c>
      <c r="C391" s="1" t="s">
        <v>23</v>
      </c>
      <c r="D391" s="1">
        <v>2026</v>
      </c>
      <c r="E391" s="1" t="s">
        <v>28</v>
      </c>
      <c r="F391" s="1">
        <v>0</v>
      </c>
      <c r="G391" s="1">
        <v>0</v>
      </c>
      <c r="H391" s="1">
        <v>56.6</v>
      </c>
      <c r="I391" s="1">
        <v>28.86</v>
      </c>
      <c r="J391" s="1">
        <v>0</v>
      </c>
      <c r="K391" s="1">
        <f t="shared" si="6"/>
        <v>85.460000000000008</v>
      </c>
      <c r="L391" s="1" t="str">
        <f>_xlfn.XLOOKUP(A391,satellite_programs!A:A,satellite_programs!N:N)</f>
        <v>Operations</v>
      </c>
    </row>
    <row r="392" spans="1:12" x14ac:dyDescent="0.5">
      <c r="A392" s="1" t="s">
        <v>71</v>
      </c>
      <c r="B392" s="1" t="s">
        <v>67</v>
      </c>
      <c r="C392" s="1" t="s">
        <v>23</v>
      </c>
      <c r="D392" s="1">
        <v>2027</v>
      </c>
      <c r="E392" s="1" t="s">
        <v>28</v>
      </c>
      <c r="F392" s="1">
        <v>0</v>
      </c>
      <c r="G392" s="1">
        <v>0</v>
      </c>
      <c r="H392" s="1">
        <v>56.6</v>
      </c>
      <c r="I392" s="1">
        <v>29.53</v>
      </c>
      <c r="J392" s="1">
        <v>0</v>
      </c>
      <c r="K392" s="1">
        <f t="shared" si="6"/>
        <v>86.13</v>
      </c>
      <c r="L392" s="1" t="str">
        <f>_xlfn.XLOOKUP(A392,satellite_programs!A:A,satellite_programs!N:N)</f>
        <v>Operations</v>
      </c>
    </row>
    <row r="393" spans="1:12" x14ac:dyDescent="0.5">
      <c r="A393" s="1" t="s">
        <v>71</v>
      </c>
      <c r="B393" s="1" t="s">
        <v>67</v>
      </c>
      <c r="C393" s="1" t="s">
        <v>23</v>
      </c>
      <c r="D393" s="1">
        <v>2029</v>
      </c>
      <c r="E393" s="1" t="s">
        <v>103</v>
      </c>
      <c r="F393" s="1">
        <v>0</v>
      </c>
      <c r="G393" s="1">
        <v>0</v>
      </c>
      <c r="H393" s="1">
        <v>0</v>
      </c>
      <c r="I393" s="1">
        <v>0</v>
      </c>
      <c r="J393" s="1">
        <v>24.2</v>
      </c>
      <c r="K393" s="1">
        <f t="shared" si="6"/>
        <v>24.2</v>
      </c>
      <c r="L393" s="1" t="str">
        <f>_xlfn.XLOOKUP(A393,satellite_programs!A:A,satellite_programs!N:N)</f>
        <v>Operations</v>
      </c>
    </row>
    <row r="394" spans="1:12" x14ac:dyDescent="0.5">
      <c r="A394" s="1" t="s">
        <v>72</v>
      </c>
      <c r="B394" s="1" t="s">
        <v>67</v>
      </c>
      <c r="C394" s="1" t="s">
        <v>23</v>
      </c>
      <c r="D394" s="1">
        <v>2012</v>
      </c>
      <c r="E394" s="1" t="s">
        <v>104</v>
      </c>
      <c r="F394" s="1">
        <v>21.49</v>
      </c>
      <c r="G394" s="1">
        <v>0</v>
      </c>
      <c r="H394" s="1">
        <v>0</v>
      </c>
      <c r="I394" s="1">
        <v>0</v>
      </c>
      <c r="J394" s="1">
        <v>0</v>
      </c>
      <c r="K394" s="1">
        <f t="shared" si="6"/>
        <v>21.49</v>
      </c>
      <c r="L394" s="1" t="str">
        <f>_xlfn.XLOOKUP(A394,satellite_programs!A:A,satellite_programs!N:N)</f>
        <v>Operations</v>
      </c>
    </row>
    <row r="395" spans="1:12" x14ac:dyDescent="0.5">
      <c r="A395" s="1" t="s">
        <v>72</v>
      </c>
      <c r="B395" s="1" t="s">
        <v>67</v>
      </c>
      <c r="C395" s="1" t="s">
        <v>23</v>
      </c>
      <c r="D395" s="1">
        <v>2013</v>
      </c>
      <c r="E395" s="1" t="s">
        <v>104</v>
      </c>
      <c r="F395" s="1">
        <v>42.98</v>
      </c>
      <c r="G395" s="1">
        <v>0</v>
      </c>
      <c r="H395" s="1">
        <v>0</v>
      </c>
      <c r="I395" s="1">
        <v>0</v>
      </c>
      <c r="J395" s="1">
        <v>0</v>
      </c>
      <c r="K395" s="1">
        <f t="shared" si="6"/>
        <v>42.98</v>
      </c>
      <c r="L395" s="1" t="str">
        <f>_xlfn.XLOOKUP(A395,satellite_programs!A:A,satellite_programs!N:N)</f>
        <v>Operations</v>
      </c>
    </row>
    <row r="396" spans="1:12" x14ac:dyDescent="0.5">
      <c r="A396" s="1" t="s">
        <v>72</v>
      </c>
      <c r="B396" s="1" t="s">
        <v>67</v>
      </c>
      <c r="C396" s="1" t="s">
        <v>23</v>
      </c>
      <c r="D396" s="1">
        <v>2014</v>
      </c>
      <c r="E396" s="1" t="s">
        <v>104</v>
      </c>
      <c r="F396" s="1">
        <v>77.36</v>
      </c>
      <c r="G396" s="1">
        <v>0</v>
      </c>
      <c r="H396" s="1">
        <v>0</v>
      </c>
      <c r="I396" s="1">
        <v>0</v>
      </c>
      <c r="J396" s="1">
        <v>0</v>
      </c>
      <c r="K396" s="1">
        <f t="shared" si="6"/>
        <v>77.36</v>
      </c>
      <c r="L396" s="1" t="str">
        <f>_xlfn.XLOOKUP(A396,satellite_programs!A:A,satellite_programs!N:N)</f>
        <v>Operations</v>
      </c>
    </row>
    <row r="397" spans="1:12" x14ac:dyDescent="0.5">
      <c r="A397" s="1" t="s">
        <v>72</v>
      </c>
      <c r="B397" s="1" t="s">
        <v>67</v>
      </c>
      <c r="C397" s="1" t="s">
        <v>23</v>
      </c>
      <c r="D397" s="1">
        <v>2015</v>
      </c>
      <c r="E397" s="1" t="s">
        <v>104</v>
      </c>
      <c r="F397" s="1">
        <v>94.55</v>
      </c>
      <c r="G397" s="1">
        <v>0</v>
      </c>
      <c r="H397" s="1">
        <v>0</v>
      </c>
      <c r="I397" s="1">
        <v>0</v>
      </c>
      <c r="J397" s="1">
        <v>0</v>
      </c>
      <c r="K397" s="1">
        <f t="shared" si="6"/>
        <v>94.55</v>
      </c>
      <c r="L397" s="1" t="str">
        <f>_xlfn.XLOOKUP(A397,satellite_programs!A:A,satellite_programs!N:N)</f>
        <v>Operations</v>
      </c>
    </row>
    <row r="398" spans="1:12" x14ac:dyDescent="0.5">
      <c r="A398" s="1" t="s">
        <v>72</v>
      </c>
      <c r="B398" s="1" t="s">
        <v>67</v>
      </c>
      <c r="C398" s="1" t="s">
        <v>23</v>
      </c>
      <c r="D398" s="1">
        <v>2016</v>
      </c>
      <c r="E398" s="1" t="s">
        <v>104</v>
      </c>
      <c r="F398" s="1">
        <v>85.96</v>
      </c>
      <c r="G398" s="1">
        <v>0</v>
      </c>
      <c r="H398" s="1">
        <v>0</v>
      </c>
      <c r="I398" s="1">
        <v>0</v>
      </c>
      <c r="J398" s="1">
        <v>0</v>
      </c>
      <c r="K398" s="1">
        <f t="shared" si="6"/>
        <v>85.96</v>
      </c>
      <c r="L398" s="1" t="str">
        <f>_xlfn.XLOOKUP(A398,satellite_programs!A:A,satellite_programs!N:N)</f>
        <v>Operations</v>
      </c>
    </row>
    <row r="399" spans="1:12" x14ac:dyDescent="0.5">
      <c r="A399" s="1" t="s">
        <v>72</v>
      </c>
      <c r="B399" s="1" t="s">
        <v>67</v>
      </c>
      <c r="C399" s="1" t="s">
        <v>23</v>
      </c>
      <c r="D399" s="1">
        <v>2017</v>
      </c>
      <c r="E399" s="1" t="s">
        <v>104</v>
      </c>
      <c r="F399" s="1">
        <v>55.87</v>
      </c>
      <c r="G399" s="1">
        <v>90.77</v>
      </c>
      <c r="H399" s="1">
        <v>0</v>
      </c>
      <c r="I399" s="1">
        <v>0</v>
      </c>
      <c r="J399" s="1">
        <v>0</v>
      </c>
      <c r="K399" s="1">
        <f t="shared" si="6"/>
        <v>146.63999999999999</v>
      </c>
      <c r="L399" s="1" t="str">
        <f>_xlfn.XLOOKUP(A399,satellite_programs!A:A,satellite_programs!N:N)</f>
        <v>Operations</v>
      </c>
    </row>
    <row r="400" spans="1:12" x14ac:dyDescent="0.5">
      <c r="A400" s="1" t="s">
        <v>72</v>
      </c>
      <c r="B400" s="1" t="s">
        <v>67</v>
      </c>
      <c r="C400" s="1" t="s">
        <v>23</v>
      </c>
      <c r="D400" s="1">
        <v>2018</v>
      </c>
      <c r="E400" s="1" t="s">
        <v>104</v>
      </c>
      <c r="F400" s="1">
        <v>34.380000000000003</v>
      </c>
      <c r="G400" s="1">
        <v>74.27</v>
      </c>
      <c r="H400" s="1">
        <v>0</v>
      </c>
      <c r="I400" s="1">
        <v>0</v>
      </c>
      <c r="J400" s="1">
        <v>0</v>
      </c>
      <c r="K400" s="1">
        <f t="shared" si="6"/>
        <v>108.65</v>
      </c>
      <c r="L400" s="1" t="str">
        <f>_xlfn.XLOOKUP(A400,satellite_programs!A:A,satellite_programs!N:N)</f>
        <v>Operations</v>
      </c>
    </row>
    <row r="401" spans="1:12" x14ac:dyDescent="0.5">
      <c r="A401" s="1" t="s">
        <v>72</v>
      </c>
      <c r="B401" s="1" t="s">
        <v>67</v>
      </c>
      <c r="C401" s="1" t="s">
        <v>23</v>
      </c>
      <c r="D401" s="1">
        <v>2019</v>
      </c>
      <c r="E401" s="1" t="s">
        <v>28</v>
      </c>
      <c r="F401" s="1">
        <v>0</v>
      </c>
      <c r="G401" s="1">
        <v>0</v>
      </c>
      <c r="H401" s="1">
        <v>58</v>
      </c>
      <c r="I401" s="1">
        <v>23.04</v>
      </c>
      <c r="J401" s="1">
        <v>0</v>
      </c>
      <c r="K401" s="1">
        <f t="shared" si="6"/>
        <v>81.039999999999992</v>
      </c>
      <c r="L401" s="1" t="str">
        <f>_xlfn.XLOOKUP(A401,satellite_programs!A:A,satellite_programs!N:N)</f>
        <v>Operations</v>
      </c>
    </row>
    <row r="402" spans="1:12" x14ac:dyDescent="0.5">
      <c r="A402" s="1" t="s">
        <v>72</v>
      </c>
      <c r="B402" s="1" t="s">
        <v>67</v>
      </c>
      <c r="C402" s="1" t="s">
        <v>23</v>
      </c>
      <c r="D402" s="1">
        <v>2020</v>
      </c>
      <c r="E402" s="1" t="s">
        <v>28</v>
      </c>
      <c r="F402" s="1">
        <v>0</v>
      </c>
      <c r="G402" s="1">
        <v>0</v>
      </c>
      <c r="H402" s="1">
        <v>58</v>
      </c>
      <c r="I402" s="1">
        <v>23.73</v>
      </c>
      <c r="J402" s="1">
        <v>0</v>
      </c>
      <c r="K402" s="1">
        <f t="shared" si="6"/>
        <v>81.73</v>
      </c>
      <c r="L402" s="1" t="str">
        <f>_xlfn.XLOOKUP(A402,satellite_programs!A:A,satellite_programs!N:N)</f>
        <v>Operations</v>
      </c>
    </row>
    <row r="403" spans="1:12" x14ac:dyDescent="0.5">
      <c r="A403" s="1" t="s">
        <v>72</v>
      </c>
      <c r="B403" s="1" t="s">
        <v>67</v>
      </c>
      <c r="C403" s="1" t="s">
        <v>23</v>
      </c>
      <c r="D403" s="1">
        <v>2021</v>
      </c>
      <c r="E403" s="1" t="s">
        <v>28</v>
      </c>
      <c r="F403" s="1">
        <v>0</v>
      </c>
      <c r="G403" s="1">
        <v>0</v>
      </c>
      <c r="H403" s="1">
        <v>58</v>
      </c>
      <c r="I403" s="1">
        <v>24.42</v>
      </c>
      <c r="J403" s="1">
        <v>0</v>
      </c>
      <c r="K403" s="1">
        <f t="shared" si="6"/>
        <v>82.42</v>
      </c>
      <c r="L403" s="1" t="str">
        <f>_xlfn.XLOOKUP(A403,satellite_programs!A:A,satellite_programs!N:N)</f>
        <v>Operations</v>
      </c>
    </row>
    <row r="404" spans="1:12" x14ac:dyDescent="0.5">
      <c r="A404" s="1" t="s">
        <v>72</v>
      </c>
      <c r="B404" s="1" t="s">
        <v>67</v>
      </c>
      <c r="C404" s="1" t="s">
        <v>23</v>
      </c>
      <c r="D404" s="1">
        <v>2022</v>
      </c>
      <c r="E404" s="1" t="s">
        <v>28</v>
      </c>
      <c r="F404" s="1">
        <v>0</v>
      </c>
      <c r="G404" s="1">
        <v>0</v>
      </c>
      <c r="H404" s="1">
        <v>58</v>
      </c>
      <c r="I404" s="1">
        <v>25.11</v>
      </c>
      <c r="J404" s="1">
        <v>0</v>
      </c>
      <c r="K404" s="1">
        <f t="shared" si="6"/>
        <v>83.11</v>
      </c>
      <c r="L404" s="1" t="str">
        <f>_xlfn.XLOOKUP(A404,satellite_programs!A:A,satellite_programs!N:N)</f>
        <v>Operations</v>
      </c>
    </row>
    <row r="405" spans="1:12" x14ac:dyDescent="0.5">
      <c r="A405" s="1" t="s">
        <v>72</v>
      </c>
      <c r="B405" s="1" t="s">
        <v>67</v>
      </c>
      <c r="C405" s="1" t="s">
        <v>23</v>
      </c>
      <c r="D405" s="1">
        <v>2023</v>
      </c>
      <c r="E405" s="1" t="s">
        <v>28</v>
      </c>
      <c r="F405" s="1">
        <v>0</v>
      </c>
      <c r="G405" s="1">
        <v>0</v>
      </c>
      <c r="H405" s="1">
        <v>58</v>
      </c>
      <c r="I405" s="1">
        <v>25.8</v>
      </c>
      <c r="J405" s="1">
        <v>0</v>
      </c>
      <c r="K405" s="1">
        <f t="shared" si="6"/>
        <v>83.8</v>
      </c>
      <c r="L405" s="1" t="str">
        <f>_xlfn.XLOOKUP(A405,satellite_programs!A:A,satellite_programs!N:N)</f>
        <v>Operations</v>
      </c>
    </row>
    <row r="406" spans="1:12" x14ac:dyDescent="0.5">
      <c r="A406" s="1" t="s">
        <v>72</v>
      </c>
      <c r="B406" s="1" t="s">
        <v>67</v>
      </c>
      <c r="C406" s="1" t="s">
        <v>23</v>
      </c>
      <c r="D406" s="1">
        <v>2024</v>
      </c>
      <c r="E406" s="1" t="s">
        <v>28</v>
      </c>
      <c r="F406" s="1">
        <v>0</v>
      </c>
      <c r="G406" s="1">
        <v>0</v>
      </c>
      <c r="H406" s="1">
        <v>58</v>
      </c>
      <c r="I406" s="1">
        <v>26.5</v>
      </c>
      <c r="J406" s="1">
        <v>0</v>
      </c>
      <c r="K406" s="1">
        <f t="shared" si="6"/>
        <v>84.5</v>
      </c>
      <c r="L406" s="1" t="str">
        <f>_xlfn.XLOOKUP(A406,satellite_programs!A:A,satellite_programs!N:N)</f>
        <v>Operations</v>
      </c>
    </row>
    <row r="407" spans="1:12" x14ac:dyDescent="0.5">
      <c r="A407" s="1" t="s">
        <v>72</v>
      </c>
      <c r="B407" s="1" t="s">
        <v>67</v>
      </c>
      <c r="C407" s="1" t="s">
        <v>23</v>
      </c>
      <c r="D407" s="1">
        <v>2025</v>
      </c>
      <c r="E407" s="1" t="s">
        <v>28</v>
      </c>
      <c r="F407" s="1">
        <v>0</v>
      </c>
      <c r="G407" s="1">
        <v>0</v>
      </c>
      <c r="H407" s="1">
        <v>58</v>
      </c>
      <c r="I407" s="1">
        <v>27.19</v>
      </c>
      <c r="J407" s="1">
        <v>0</v>
      </c>
      <c r="K407" s="1">
        <f t="shared" si="6"/>
        <v>85.19</v>
      </c>
      <c r="L407" s="1" t="str">
        <f>_xlfn.XLOOKUP(A407,satellite_programs!A:A,satellite_programs!N:N)</f>
        <v>Operations</v>
      </c>
    </row>
    <row r="408" spans="1:12" x14ac:dyDescent="0.5">
      <c r="A408" s="1" t="s">
        <v>72</v>
      </c>
      <c r="B408" s="1" t="s">
        <v>67</v>
      </c>
      <c r="C408" s="1" t="s">
        <v>23</v>
      </c>
      <c r="D408" s="1">
        <v>2026</v>
      </c>
      <c r="E408" s="1" t="s">
        <v>28</v>
      </c>
      <c r="F408" s="1">
        <v>0</v>
      </c>
      <c r="G408" s="1">
        <v>0</v>
      </c>
      <c r="H408" s="1">
        <v>58</v>
      </c>
      <c r="I408" s="1">
        <v>27.88</v>
      </c>
      <c r="J408" s="1">
        <v>0</v>
      </c>
      <c r="K408" s="1">
        <f t="shared" si="6"/>
        <v>85.88</v>
      </c>
      <c r="L408" s="1" t="str">
        <f>_xlfn.XLOOKUP(A408,satellite_programs!A:A,satellite_programs!N:N)</f>
        <v>Operations</v>
      </c>
    </row>
    <row r="409" spans="1:12" x14ac:dyDescent="0.5">
      <c r="A409" s="1" t="s">
        <v>72</v>
      </c>
      <c r="B409" s="1" t="s">
        <v>67</v>
      </c>
      <c r="C409" s="1" t="s">
        <v>23</v>
      </c>
      <c r="D409" s="1">
        <v>2027</v>
      </c>
      <c r="E409" s="1" t="s">
        <v>28</v>
      </c>
      <c r="F409" s="1">
        <v>0</v>
      </c>
      <c r="G409" s="1">
        <v>0</v>
      </c>
      <c r="H409" s="1">
        <v>58</v>
      </c>
      <c r="I409" s="1">
        <v>28.57</v>
      </c>
      <c r="J409" s="1">
        <v>0</v>
      </c>
      <c r="K409" s="1">
        <f t="shared" si="6"/>
        <v>86.57</v>
      </c>
      <c r="L409" s="1" t="str">
        <f>_xlfn.XLOOKUP(A409,satellite_programs!A:A,satellite_programs!N:N)</f>
        <v>Operations</v>
      </c>
    </row>
    <row r="410" spans="1:12" x14ac:dyDescent="0.5">
      <c r="A410" s="1" t="s">
        <v>72</v>
      </c>
      <c r="B410" s="1" t="s">
        <v>67</v>
      </c>
      <c r="C410" s="1" t="s">
        <v>23</v>
      </c>
      <c r="D410" s="1">
        <v>2028</v>
      </c>
      <c r="E410" s="1" t="s">
        <v>28</v>
      </c>
      <c r="F410" s="1">
        <v>0</v>
      </c>
      <c r="G410" s="1">
        <v>0</v>
      </c>
      <c r="H410" s="1">
        <v>58</v>
      </c>
      <c r="I410" s="1">
        <v>29.26</v>
      </c>
      <c r="J410" s="1">
        <v>0</v>
      </c>
      <c r="K410" s="1">
        <f t="shared" si="6"/>
        <v>87.26</v>
      </c>
      <c r="L410" s="1" t="str">
        <f>_xlfn.XLOOKUP(A410,satellite_programs!A:A,satellite_programs!N:N)</f>
        <v>Operations</v>
      </c>
    </row>
    <row r="411" spans="1:12" x14ac:dyDescent="0.5">
      <c r="A411" s="1" t="s">
        <v>72</v>
      </c>
      <c r="B411" s="1" t="s">
        <v>67</v>
      </c>
      <c r="C411" s="1" t="s">
        <v>23</v>
      </c>
      <c r="D411" s="1">
        <v>2029</v>
      </c>
      <c r="E411" s="1" t="s">
        <v>28</v>
      </c>
      <c r="F411" s="1">
        <v>0</v>
      </c>
      <c r="G411" s="1">
        <v>0</v>
      </c>
      <c r="H411" s="1">
        <v>58</v>
      </c>
      <c r="I411" s="1">
        <v>29.95</v>
      </c>
      <c r="J411" s="1">
        <v>0</v>
      </c>
      <c r="K411" s="1">
        <f t="shared" si="6"/>
        <v>87.95</v>
      </c>
      <c r="L411" s="1" t="str">
        <f>_xlfn.XLOOKUP(A411,satellite_programs!A:A,satellite_programs!N:N)</f>
        <v>Operations</v>
      </c>
    </row>
    <row r="412" spans="1:12" x14ac:dyDescent="0.5">
      <c r="A412" s="1" t="s">
        <v>72</v>
      </c>
      <c r="B412" s="1" t="s">
        <v>67</v>
      </c>
      <c r="C412" s="1" t="s">
        <v>23</v>
      </c>
      <c r="D412" s="1">
        <v>2030</v>
      </c>
      <c r="E412" s="1" t="s">
        <v>28</v>
      </c>
      <c r="F412" s="1">
        <v>0</v>
      </c>
      <c r="G412" s="1">
        <v>0</v>
      </c>
      <c r="H412" s="1">
        <v>58</v>
      </c>
      <c r="I412" s="1">
        <v>30.64</v>
      </c>
      <c r="J412" s="1">
        <v>0</v>
      </c>
      <c r="K412" s="1">
        <f t="shared" si="6"/>
        <v>88.64</v>
      </c>
      <c r="L412" s="1" t="str">
        <f>_xlfn.XLOOKUP(A412,satellite_programs!A:A,satellite_programs!N:N)</f>
        <v>Operations</v>
      </c>
    </row>
    <row r="413" spans="1:12" x14ac:dyDescent="0.5">
      <c r="A413" s="1" t="s">
        <v>72</v>
      </c>
      <c r="B413" s="1" t="s">
        <v>67</v>
      </c>
      <c r="C413" s="1" t="s">
        <v>23</v>
      </c>
      <c r="D413" s="1">
        <v>2031</v>
      </c>
      <c r="E413" s="1" t="s">
        <v>28</v>
      </c>
      <c r="F413" s="1">
        <v>0</v>
      </c>
      <c r="G413" s="1">
        <v>0</v>
      </c>
      <c r="H413" s="1">
        <v>58</v>
      </c>
      <c r="I413" s="1">
        <v>31.33</v>
      </c>
      <c r="J413" s="1">
        <v>0</v>
      </c>
      <c r="K413" s="1">
        <f t="shared" si="6"/>
        <v>89.33</v>
      </c>
      <c r="L413" s="1" t="str">
        <f>_xlfn.XLOOKUP(A413,satellite_programs!A:A,satellite_programs!N:N)</f>
        <v>Operations</v>
      </c>
    </row>
    <row r="414" spans="1:12" x14ac:dyDescent="0.5">
      <c r="A414" s="1" t="s">
        <v>72</v>
      </c>
      <c r="B414" s="1" t="s">
        <v>67</v>
      </c>
      <c r="C414" s="1" t="s">
        <v>23</v>
      </c>
      <c r="D414" s="1">
        <v>2032</v>
      </c>
      <c r="E414" s="1" t="s">
        <v>28</v>
      </c>
      <c r="F414" s="1">
        <v>0</v>
      </c>
      <c r="G414" s="1">
        <v>0</v>
      </c>
      <c r="H414" s="1">
        <v>58</v>
      </c>
      <c r="I414" s="1">
        <v>32.03</v>
      </c>
      <c r="J414" s="1">
        <v>0</v>
      </c>
      <c r="K414" s="1">
        <f t="shared" si="6"/>
        <v>90.03</v>
      </c>
      <c r="L414" s="1" t="str">
        <f>_xlfn.XLOOKUP(A414,satellite_programs!A:A,satellite_programs!N:N)</f>
        <v>Operations</v>
      </c>
    </row>
    <row r="415" spans="1:12" x14ac:dyDescent="0.5">
      <c r="A415" s="1" t="s">
        <v>72</v>
      </c>
      <c r="B415" s="1" t="s">
        <v>67</v>
      </c>
      <c r="C415" s="1" t="s">
        <v>23</v>
      </c>
      <c r="D415" s="1">
        <v>2033</v>
      </c>
      <c r="E415" s="1" t="s">
        <v>28</v>
      </c>
      <c r="F415" s="1">
        <v>0</v>
      </c>
      <c r="G415" s="1">
        <v>0</v>
      </c>
      <c r="H415" s="1">
        <v>58</v>
      </c>
      <c r="I415" s="1">
        <v>32.72</v>
      </c>
      <c r="J415" s="1">
        <v>0</v>
      </c>
      <c r="K415" s="1">
        <f t="shared" si="6"/>
        <v>90.72</v>
      </c>
      <c r="L415" s="1" t="str">
        <f>_xlfn.XLOOKUP(A415,satellite_programs!A:A,satellite_programs!N:N)</f>
        <v>Operations</v>
      </c>
    </row>
    <row r="416" spans="1:12" x14ac:dyDescent="0.5">
      <c r="A416" s="1" t="s">
        <v>72</v>
      </c>
      <c r="B416" s="1" t="s">
        <v>67</v>
      </c>
      <c r="C416" s="1" t="s">
        <v>23</v>
      </c>
      <c r="D416" s="1">
        <v>2035</v>
      </c>
      <c r="E416" s="1" t="s">
        <v>103</v>
      </c>
      <c r="F416" s="1">
        <v>0</v>
      </c>
      <c r="G416" s="1">
        <v>0</v>
      </c>
      <c r="H416" s="1">
        <v>0</v>
      </c>
      <c r="I416" s="1">
        <v>0</v>
      </c>
      <c r="J416" s="1">
        <v>24.9</v>
      </c>
      <c r="K416" s="1">
        <f t="shared" si="6"/>
        <v>24.9</v>
      </c>
      <c r="L416" s="1" t="str">
        <f>_xlfn.XLOOKUP(A416,satellite_programs!A:A,satellite_programs!N:N)</f>
        <v>Operations</v>
      </c>
    </row>
    <row r="417" spans="1:12" x14ac:dyDescent="0.5">
      <c r="A417" s="1" t="s">
        <v>42</v>
      </c>
      <c r="B417" s="1" t="s">
        <v>43</v>
      </c>
      <c r="C417" s="1" t="s">
        <v>44</v>
      </c>
      <c r="D417" s="1">
        <v>1999</v>
      </c>
      <c r="E417" s="1" t="s">
        <v>104</v>
      </c>
      <c r="F417" s="1">
        <v>6.93</v>
      </c>
      <c r="G417" s="1">
        <v>0</v>
      </c>
      <c r="H417" s="1">
        <v>0</v>
      </c>
      <c r="I417" s="1">
        <v>0</v>
      </c>
      <c r="J417" s="1">
        <v>0</v>
      </c>
      <c r="K417" s="1">
        <f t="shared" si="6"/>
        <v>6.93</v>
      </c>
      <c r="L417" s="1" t="str">
        <f>_xlfn.XLOOKUP(A417,satellite_programs!A:A,satellite_programs!N:N)</f>
        <v>Retired</v>
      </c>
    </row>
    <row r="418" spans="1:12" x14ac:dyDescent="0.5">
      <c r="A418" s="1" t="s">
        <v>42</v>
      </c>
      <c r="B418" s="1" t="s">
        <v>43</v>
      </c>
      <c r="C418" s="1" t="s">
        <v>44</v>
      </c>
      <c r="D418" s="1">
        <v>2000</v>
      </c>
      <c r="E418" s="1" t="s">
        <v>104</v>
      </c>
      <c r="F418" s="1">
        <v>13.85</v>
      </c>
      <c r="G418" s="1">
        <v>0</v>
      </c>
      <c r="H418" s="1">
        <v>0</v>
      </c>
      <c r="I418" s="1">
        <v>0</v>
      </c>
      <c r="J418" s="1">
        <v>0</v>
      </c>
      <c r="K418" s="1">
        <f t="shared" si="6"/>
        <v>13.85</v>
      </c>
      <c r="L418" s="1" t="str">
        <f>_xlfn.XLOOKUP(A418,satellite_programs!A:A,satellite_programs!N:N)</f>
        <v>Retired</v>
      </c>
    </row>
    <row r="419" spans="1:12" x14ac:dyDescent="0.5">
      <c r="A419" s="1" t="s">
        <v>42</v>
      </c>
      <c r="B419" s="1" t="s">
        <v>43</v>
      </c>
      <c r="C419" s="1" t="s">
        <v>44</v>
      </c>
      <c r="D419" s="1">
        <v>2001</v>
      </c>
      <c r="E419" s="1" t="s">
        <v>104</v>
      </c>
      <c r="F419" s="1">
        <v>24.93</v>
      </c>
      <c r="G419" s="1">
        <v>0</v>
      </c>
      <c r="H419" s="1">
        <v>0</v>
      </c>
      <c r="I419" s="1">
        <v>0</v>
      </c>
      <c r="J419" s="1">
        <v>0</v>
      </c>
      <c r="K419" s="1">
        <f t="shared" si="6"/>
        <v>24.93</v>
      </c>
      <c r="L419" s="1" t="str">
        <f>_xlfn.XLOOKUP(A419,satellite_programs!A:A,satellite_programs!N:N)</f>
        <v>Retired</v>
      </c>
    </row>
    <row r="420" spans="1:12" x14ac:dyDescent="0.5">
      <c r="A420" s="1" t="s">
        <v>42</v>
      </c>
      <c r="B420" s="1" t="s">
        <v>43</v>
      </c>
      <c r="C420" s="1" t="s">
        <v>44</v>
      </c>
      <c r="D420" s="1">
        <v>2002</v>
      </c>
      <c r="E420" s="1" t="s">
        <v>104</v>
      </c>
      <c r="F420" s="1">
        <v>30.47</v>
      </c>
      <c r="G420" s="1">
        <v>0</v>
      </c>
      <c r="H420" s="1">
        <v>0</v>
      </c>
      <c r="I420" s="1">
        <v>0</v>
      </c>
      <c r="J420" s="1">
        <v>0</v>
      </c>
      <c r="K420" s="1">
        <f t="shared" si="6"/>
        <v>30.47</v>
      </c>
      <c r="L420" s="1" t="str">
        <f>_xlfn.XLOOKUP(A420,satellite_programs!A:A,satellite_programs!N:N)</f>
        <v>Retired</v>
      </c>
    </row>
    <row r="421" spans="1:12" x14ac:dyDescent="0.5">
      <c r="A421" s="1" t="s">
        <v>42</v>
      </c>
      <c r="B421" s="1" t="s">
        <v>43</v>
      </c>
      <c r="C421" s="1" t="s">
        <v>44</v>
      </c>
      <c r="D421" s="1">
        <v>2003</v>
      </c>
      <c r="E421" s="1" t="s">
        <v>104</v>
      </c>
      <c r="F421" s="1">
        <v>27.7</v>
      </c>
      <c r="G421" s="1">
        <v>26.82</v>
      </c>
      <c r="H421" s="1">
        <v>0</v>
      </c>
      <c r="I421" s="1">
        <v>0</v>
      </c>
      <c r="J421" s="1">
        <v>0</v>
      </c>
      <c r="K421" s="1">
        <f t="shared" si="6"/>
        <v>54.519999999999996</v>
      </c>
      <c r="L421" s="1" t="str">
        <f>_xlfn.XLOOKUP(A421,satellite_programs!A:A,satellite_programs!N:N)</f>
        <v>Retired</v>
      </c>
    </row>
    <row r="422" spans="1:12" x14ac:dyDescent="0.5">
      <c r="A422" s="1" t="s">
        <v>42</v>
      </c>
      <c r="B422" s="1" t="s">
        <v>43</v>
      </c>
      <c r="C422" s="1" t="s">
        <v>44</v>
      </c>
      <c r="D422" s="1">
        <v>2004</v>
      </c>
      <c r="E422" s="1" t="s">
        <v>104</v>
      </c>
      <c r="F422" s="1">
        <v>18.010000000000002</v>
      </c>
      <c r="G422" s="1">
        <v>21.94</v>
      </c>
      <c r="H422" s="1">
        <v>0</v>
      </c>
      <c r="I422" s="1">
        <v>0</v>
      </c>
      <c r="J422" s="1">
        <v>0</v>
      </c>
      <c r="K422" s="1">
        <f t="shared" si="6"/>
        <v>39.950000000000003</v>
      </c>
      <c r="L422" s="1" t="str">
        <f>_xlfn.XLOOKUP(A422,satellite_programs!A:A,satellite_programs!N:N)</f>
        <v>Retired</v>
      </c>
    </row>
    <row r="423" spans="1:12" x14ac:dyDescent="0.5">
      <c r="A423" s="1" t="s">
        <v>42</v>
      </c>
      <c r="B423" s="1" t="s">
        <v>43</v>
      </c>
      <c r="C423" s="1" t="s">
        <v>44</v>
      </c>
      <c r="D423" s="1">
        <v>2005</v>
      </c>
      <c r="E423" s="1" t="s">
        <v>28</v>
      </c>
      <c r="F423" s="1">
        <v>0</v>
      </c>
      <c r="G423" s="1">
        <v>0</v>
      </c>
      <c r="H423" s="1">
        <v>29.28</v>
      </c>
      <c r="I423" s="1">
        <v>14.36</v>
      </c>
      <c r="J423" s="1">
        <v>0</v>
      </c>
      <c r="K423" s="1">
        <f t="shared" si="6"/>
        <v>43.64</v>
      </c>
      <c r="L423" s="1" t="str">
        <f>_xlfn.XLOOKUP(A423,satellite_programs!A:A,satellite_programs!N:N)</f>
        <v>Retired</v>
      </c>
    </row>
    <row r="424" spans="1:12" x14ac:dyDescent="0.5">
      <c r="A424" s="1" t="s">
        <v>42</v>
      </c>
      <c r="B424" s="1" t="s">
        <v>43</v>
      </c>
      <c r="C424" s="1" t="s">
        <v>44</v>
      </c>
      <c r="D424" s="1">
        <v>2006</v>
      </c>
      <c r="E424" s="1" t="s">
        <v>28</v>
      </c>
      <c r="F424" s="1">
        <v>0</v>
      </c>
      <c r="G424" s="1">
        <v>0</v>
      </c>
      <c r="H424" s="1">
        <v>29.28</v>
      </c>
      <c r="I424" s="1">
        <v>14.79</v>
      </c>
      <c r="J424" s="1">
        <v>0</v>
      </c>
      <c r="K424" s="1">
        <f t="shared" si="6"/>
        <v>44.07</v>
      </c>
      <c r="L424" s="1" t="str">
        <f>_xlfn.XLOOKUP(A424,satellite_programs!A:A,satellite_programs!N:N)</f>
        <v>Retired</v>
      </c>
    </row>
    <row r="425" spans="1:12" x14ac:dyDescent="0.5">
      <c r="A425" s="1" t="s">
        <v>42</v>
      </c>
      <c r="B425" s="1" t="s">
        <v>43</v>
      </c>
      <c r="C425" s="1" t="s">
        <v>44</v>
      </c>
      <c r="D425" s="1">
        <v>2007</v>
      </c>
      <c r="E425" s="1" t="s">
        <v>28</v>
      </c>
      <c r="F425" s="1">
        <v>0</v>
      </c>
      <c r="G425" s="1">
        <v>0</v>
      </c>
      <c r="H425" s="1">
        <v>29.28</v>
      </c>
      <c r="I425" s="1">
        <v>15.22</v>
      </c>
      <c r="J425" s="1">
        <v>0</v>
      </c>
      <c r="K425" s="1">
        <f t="shared" si="6"/>
        <v>44.5</v>
      </c>
      <c r="L425" s="1" t="str">
        <f>_xlfn.XLOOKUP(A425,satellite_programs!A:A,satellite_programs!N:N)</f>
        <v>Retired</v>
      </c>
    </row>
    <row r="426" spans="1:12" x14ac:dyDescent="0.5">
      <c r="A426" s="1" t="s">
        <v>42</v>
      </c>
      <c r="B426" s="1" t="s">
        <v>43</v>
      </c>
      <c r="C426" s="1" t="s">
        <v>44</v>
      </c>
      <c r="D426" s="1">
        <v>2008</v>
      </c>
      <c r="E426" s="1" t="s">
        <v>28</v>
      </c>
      <c r="F426" s="1">
        <v>0</v>
      </c>
      <c r="G426" s="1">
        <v>0</v>
      </c>
      <c r="H426" s="1">
        <v>29.28</v>
      </c>
      <c r="I426" s="1">
        <v>15.65</v>
      </c>
      <c r="J426" s="1">
        <v>0</v>
      </c>
      <c r="K426" s="1">
        <f t="shared" si="6"/>
        <v>44.93</v>
      </c>
      <c r="L426" s="1" t="str">
        <f>_xlfn.XLOOKUP(A426,satellite_programs!A:A,satellite_programs!N:N)</f>
        <v>Retired</v>
      </c>
    </row>
    <row r="427" spans="1:12" x14ac:dyDescent="0.5">
      <c r="A427" s="1" t="s">
        <v>42</v>
      </c>
      <c r="B427" s="1" t="s">
        <v>43</v>
      </c>
      <c r="C427" s="1" t="s">
        <v>44</v>
      </c>
      <c r="D427" s="1">
        <v>2009</v>
      </c>
      <c r="E427" s="1" t="s">
        <v>28</v>
      </c>
      <c r="F427" s="1">
        <v>0</v>
      </c>
      <c r="G427" s="1">
        <v>0</v>
      </c>
      <c r="H427" s="1">
        <v>29.28</v>
      </c>
      <c r="I427" s="1">
        <v>16.079999999999998</v>
      </c>
      <c r="J427" s="1">
        <v>0</v>
      </c>
      <c r="K427" s="1">
        <f t="shared" si="6"/>
        <v>45.36</v>
      </c>
      <c r="L427" s="1" t="str">
        <f>_xlfn.XLOOKUP(A427,satellite_programs!A:A,satellite_programs!N:N)</f>
        <v>Retired</v>
      </c>
    </row>
    <row r="428" spans="1:12" x14ac:dyDescent="0.5">
      <c r="A428" s="1" t="s">
        <v>42</v>
      </c>
      <c r="B428" s="1" t="s">
        <v>43</v>
      </c>
      <c r="C428" s="1" t="s">
        <v>44</v>
      </c>
      <c r="D428" s="1">
        <v>2010</v>
      </c>
      <c r="E428" s="1" t="s">
        <v>28</v>
      </c>
      <c r="F428" s="1">
        <v>0</v>
      </c>
      <c r="G428" s="1">
        <v>0</v>
      </c>
      <c r="H428" s="1">
        <v>29.28</v>
      </c>
      <c r="I428" s="1">
        <v>16.510000000000002</v>
      </c>
      <c r="J428" s="1">
        <v>0</v>
      </c>
      <c r="K428" s="1">
        <f t="shared" si="6"/>
        <v>45.790000000000006</v>
      </c>
      <c r="L428" s="1" t="str">
        <f>_xlfn.XLOOKUP(A428,satellite_programs!A:A,satellite_programs!N:N)</f>
        <v>Retired</v>
      </c>
    </row>
    <row r="429" spans="1:12" x14ac:dyDescent="0.5">
      <c r="A429" s="1" t="s">
        <v>42</v>
      </c>
      <c r="B429" s="1" t="s">
        <v>43</v>
      </c>
      <c r="C429" s="1" t="s">
        <v>44</v>
      </c>
      <c r="D429" s="1">
        <v>2011</v>
      </c>
      <c r="E429" s="1" t="s">
        <v>28</v>
      </c>
      <c r="F429" s="1">
        <v>0</v>
      </c>
      <c r="G429" s="1">
        <v>0</v>
      </c>
      <c r="H429" s="1">
        <v>29.28</v>
      </c>
      <c r="I429" s="1">
        <v>16.940000000000001</v>
      </c>
      <c r="J429" s="1">
        <v>0</v>
      </c>
      <c r="K429" s="1">
        <f t="shared" si="6"/>
        <v>46.22</v>
      </c>
      <c r="L429" s="1" t="str">
        <f>_xlfn.XLOOKUP(A429,satellite_programs!A:A,satellite_programs!N:N)</f>
        <v>Retired</v>
      </c>
    </row>
    <row r="430" spans="1:12" x14ac:dyDescent="0.5">
      <c r="A430" s="1" t="s">
        <v>42</v>
      </c>
      <c r="B430" s="1" t="s">
        <v>43</v>
      </c>
      <c r="C430" s="1" t="s">
        <v>44</v>
      </c>
      <c r="D430" s="1">
        <v>2012</v>
      </c>
      <c r="E430" s="1" t="s">
        <v>28</v>
      </c>
      <c r="F430" s="1">
        <v>0</v>
      </c>
      <c r="G430" s="1">
        <v>0</v>
      </c>
      <c r="H430" s="1">
        <v>29.28</v>
      </c>
      <c r="I430" s="1">
        <v>17.38</v>
      </c>
      <c r="J430" s="1">
        <v>0</v>
      </c>
      <c r="K430" s="1">
        <f t="shared" si="6"/>
        <v>46.66</v>
      </c>
      <c r="L430" s="1" t="str">
        <f>_xlfn.XLOOKUP(A430,satellite_programs!A:A,satellite_programs!N:N)</f>
        <v>Retired</v>
      </c>
    </row>
    <row r="431" spans="1:12" x14ac:dyDescent="0.5">
      <c r="A431" s="1" t="s">
        <v>42</v>
      </c>
      <c r="B431" s="1" t="s">
        <v>43</v>
      </c>
      <c r="C431" s="1" t="s">
        <v>44</v>
      </c>
      <c r="D431" s="1">
        <v>2013</v>
      </c>
      <c r="E431" s="1" t="s">
        <v>28</v>
      </c>
      <c r="F431" s="1">
        <v>0</v>
      </c>
      <c r="G431" s="1">
        <v>0</v>
      </c>
      <c r="H431" s="1">
        <v>29.28</v>
      </c>
      <c r="I431" s="1">
        <v>17.809999999999999</v>
      </c>
      <c r="J431" s="1">
        <v>0</v>
      </c>
      <c r="K431" s="1">
        <f t="shared" si="6"/>
        <v>47.09</v>
      </c>
      <c r="L431" s="1" t="str">
        <f>_xlfn.XLOOKUP(A431,satellite_programs!A:A,satellite_programs!N:N)</f>
        <v>Retired</v>
      </c>
    </row>
    <row r="432" spans="1:12" x14ac:dyDescent="0.5">
      <c r="A432" s="1" t="s">
        <v>42</v>
      </c>
      <c r="B432" s="1" t="s">
        <v>43</v>
      </c>
      <c r="C432" s="1" t="s">
        <v>44</v>
      </c>
      <c r="D432" s="1">
        <v>2014</v>
      </c>
      <c r="E432" s="1" t="s">
        <v>28</v>
      </c>
      <c r="F432" s="1">
        <v>0</v>
      </c>
      <c r="G432" s="1">
        <v>0</v>
      </c>
      <c r="H432" s="1">
        <v>29.28</v>
      </c>
      <c r="I432" s="1">
        <v>18.239999999999998</v>
      </c>
      <c r="J432" s="1">
        <v>0</v>
      </c>
      <c r="K432" s="1">
        <f t="shared" si="6"/>
        <v>47.519999999999996</v>
      </c>
      <c r="L432" s="1" t="str">
        <f>_xlfn.XLOOKUP(A432,satellite_programs!A:A,satellite_programs!N:N)</f>
        <v>Retired</v>
      </c>
    </row>
    <row r="433" spans="1:12" x14ac:dyDescent="0.5">
      <c r="A433" s="1" t="s">
        <v>42</v>
      </c>
      <c r="B433" s="1" t="s">
        <v>43</v>
      </c>
      <c r="C433" s="1" t="s">
        <v>44</v>
      </c>
      <c r="D433" s="1">
        <v>2015</v>
      </c>
      <c r="E433" s="1" t="s">
        <v>28</v>
      </c>
      <c r="F433" s="1">
        <v>0</v>
      </c>
      <c r="G433" s="1">
        <v>0</v>
      </c>
      <c r="H433" s="1">
        <v>29.28</v>
      </c>
      <c r="I433" s="1">
        <v>18.670000000000002</v>
      </c>
      <c r="J433" s="1">
        <v>0</v>
      </c>
      <c r="K433" s="1">
        <f t="shared" si="6"/>
        <v>47.95</v>
      </c>
      <c r="L433" s="1" t="str">
        <f>_xlfn.XLOOKUP(A433,satellite_programs!A:A,satellite_programs!N:N)</f>
        <v>Retired</v>
      </c>
    </row>
    <row r="434" spans="1:12" x14ac:dyDescent="0.5">
      <c r="A434" s="1" t="s">
        <v>42</v>
      </c>
      <c r="B434" s="1" t="s">
        <v>43</v>
      </c>
      <c r="C434" s="1" t="s">
        <v>44</v>
      </c>
      <c r="D434" s="1">
        <v>2016</v>
      </c>
      <c r="E434" s="1" t="s">
        <v>28</v>
      </c>
      <c r="F434" s="1">
        <v>0</v>
      </c>
      <c r="G434" s="1">
        <v>0</v>
      </c>
      <c r="H434" s="1">
        <v>29.28</v>
      </c>
      <c r="I434" s="1">
        <v>19.100000000000001</v>
      </c>
      <c r="J434" s="1">
        <v>0</v>
      </c>
      <c r="K434" s="1">
        <f t="shared" si="6"/>
        <v>48.38</v>
      </c>
      <c r="L434" s="1" t="str">
        <f>_xlfn.XLOOKUP(A434,satellite_programs!A:A,satellite_programs!N:N)</f>
        <v>Retired</v>
      </c>
    </row>
    <row r="435" spans="1:12" x14ac:dyDescent="0.5">
      <c r="A435" s="1" t="s">
        <v>42</v>
      </c>
      <c r="B435" s="1" t="s">
        <v>43</v>
      </c>
      <c r="C435" s="1" t="s">
        <v>44</v>
      </c>
      <c r="D435" s="1">
        <v>2018</v>
      </c>
      <c r="E435" s="1" t="s">
        <v>103</v>
      </c>
      <c r="F435" s="1">
        <v>0</v>
      </c>
      <c r="G435" s="1">
        <v>0</v>
      </c>
      <c r="H435" s="1">
        <v>0</v>
      </c>
      <c r="I435" s="1">
        <v>0</v>
      </c>
      <c r="J435" s="1">
        <v>13.84</v>
      </c>
      <c r="K435" s="1">
        <f t="shared" si="6"/>
        <v>13.84</v>
      </c>
      <c r="L435" s="1" t="str">
        <f>_xlfn.XLOOKUP(A435,satellite_programs!A:A,satellite_programs!N:N)</f>
        <v>Retired</v>
      </c>
    </row>
    <row r="436" spans="1:12" x14ac:dyDescent="0.5">
      <c r="A436" s="1" t="s">
        <v>45</v>
      </c>
      <c r="B436" s="1" t="s">
        <v>43</v>
      </c>
      <c r="C436" s="1" t="s">
        <v>44</v>
      </c>
      <c r="D436" s="1">
        <v>2001</v>
      </c>
      <c r="E436" s="1" t="s">
        <v>104</v>
      </c>
      <c r="F436" s="1">
        <v>7.16</v>
      </c>
      <c r="G436" s="1">
        <v>0</v>
      </c>
      <c r="H436" s="1">
        <v>0</v>
      </c>
      <c r="I436" s="1">
        <v>0</v>
      </c>
      <c r="J436" s="1">
        <v>0</v>
      </c>
      <c r="K436" s="1">
        <f t="shared" si="6"/>
        <v>7.16</v>
      </c>
      <c r="L436" s="1" t="str">
        <f>_xlfn.XLOOKUP(A436,satellite_programs!A:A,satellite_programs!N:N)</f>
        <v>Retired</v>
      </c>
    </row>
    <row r="437" spans="1:12" x14ac:dyDescent="0.5">
      <c r="A437" s="1" t="s">
        <v>45</v>
      </c>
      <c r="B437" s="1" t="s">
        <v>43</v>
      </c>
      <c r="C437" s="1" t="s">
        <v>44</v>
      </c>
      <c r="D437" s="1">
        <v>2002</v>
      </c>
      <c r="E437" s="1" t="s">
        <v>104</v>
      </c>
      <c r="F437" s="1">
        <v>14.32</v>
      </c>
      <c r="G437" s="1">
        <v>0</v>
      </c>
      <c r="H437" s="1">
        <v>0</v>
      </c>
      <c r="I437" s="1">
        <v>0</v>
      </c>
      <c r="J437" s="1">
        <v>0</v>
      </c>
      <c r="K437" s="1">
        <f t="shared" si="6"/>
        <v>14.32</v>
      </c>
      <c r="L437" s="1" t="str">
        <f>_xlfn.XLOOKUP(A437,satellite_programs!A:A,satellite_programs!N:N)</f>
        <v>Retired</v>
      </c>
    </row>
    <row r="438" spans="1:12" x14ac:dyDescent="0.5">
      <c r="A438" s="1" t="s">
        <v>45</v>
      </c>
      <c r="B438" s="1" t="s">
        <v>43</v>
      </c>
      <c r="C438" s="1" t="s">
        <v>44</v>
      </c>
      <c r="D438" s="1">
        <v>2003</v>
      </c>
      <c r="E438" s="1" t="s">
        <v>104</v>
      </c>
      <c r="F438" s="1">
        <v>25.77</v>
      </c>
      <c r="G438" s="1">
        <v>0</v>
      </c>
      <c r="H438" s="1">
        <v>0</v>
      </c>
      <c r="I438" s="1">
        <v>0</v>
      </c>
      <c r="J438" s="1">
        <v>0</v>
      </c>
      <c r="K438" s="1">
        <f t="shared" si="6"/>
        <v>25.77</v>
      </c>
      <c r="L438" s="1" t="str">
        <f>_xlfn.XLOOKUP(A438,satellite_programs!A:A,satellite_programs!N:N)</f>
        <v>Retired</v>
      </c>
    </row>
    <row r="439" spans="1:12" x14ac:dyDescent="0.5">
      <c r="A439" s="1" t="s">
        <v>45</v>
      </c>
      <c r="B439" s="1" t="s">
        <v>43</v>
      </c>
      <c r="C439" s="1" t="s">
        <v>44</v>
      </c>
      <c r="D439" s="1">
        <v>2004</v>
      </c>
      <c r="E439" s="1" t="s">
        <v>104</v>
      </c>
      <c r="F439" s="1">
        <v>31.5</v>
      </c>
      <c r="G439" s="1">
        <v>0</v>
      </c>
      <c r="H439" s="1">
        <v>0</v>
      </c>
      <c r="I439" s="1">
        <v>0</v>
      </c>
      <c r="J439" s="1">
        <v>0</v>
      </c>
      <c r="K439" s="1">
        <f t="shared" si="6"/>
        <v>31.5</v>
      </c>
      <c r="L439" s="1" t="str">
        <f>_xlfn.XLOOKUP(A439,satellite_programs!A:A,satellite_programs!N:N)</f>
        <v>Retired</v>
      </c>
    </row>
    <row r="440" spans="1:12" x14ac:dyDescent="0.5">
      <c r="A440" s="1" t="s">
        <v>45</v>
      </c>
      <c r="B440" s="1" t="s">
        <v>43</v>
      </c>
      <c r="C440" s="1" t="s">
        <v>44</v>
      </c>
      <c r="D440" s="1">
        <v>2005</v>
      </c>
      <c r="E440" s="1" t="s">
        <v>104</v>
      </c>
      <c r="F440" s="1">
        <v>28.64</v>
      </c>
      <c r="G440" s="1">
        <v>27.72</v>
      </c>
      <c r="H440" s="1">
        <v>0</v>
      </c>
      <c r="I440" s="1">
        <v>0</v>
      </c>
      <c r="J440" s="1">
        <v>0</v>
      </c>
      <c r="K440" s="1">
        <f t="shared" si="6"/>
        <v>56.36</v>
      </c>
      <c r="L440" s="1" t="str">
        <f>_xlfn.XLOOKUP(A440,satellite_programs!A:A,satellite_programs!N:N)</f>
        <v>Retired</v>
      </c>
    </row>
    <row r="441" spans="1:12" x14ac:dyDescent="0.5">
      <c r="A441" s="1" t="s">
        <v>45</v>
      </c>
      <c r="B441" s="1" t="s">
        <v>43</v>
      </c>
      <c r="C441" s="1" t="s">
        <v>44</v>
      </c>
      <c r="D441" s="1">
        <v>2006</v>
      </c>
      <c r="E441" s="1" t="s">
        <v>104</v>
      </c>
      <c r="F441" s="1">
        <v>18.61</v>
      </c>
      <c r="G441" s="1">
        <v>22.68</v>
      </c>
      <c r="H441" s="1">
        <v>0</v>
      </c>
      <c r="I441" s="1">
        <v>0</v>
      </c>
      <c r="J441" s="1">
        <v>0</v>
      </c>
      <c r="K441" s="1">
        <f t="shared" si="6"/>
        <v>41.29</v>
      </c>
      <c r="L441" s="1" t="str">
        <f>_xlfn.XLOOKUP(A441,satellite_programs!A:A,satellite_programs!N:N)</f>
        <v>Retired</v>
      </c>
    </row>
    <row r="442" spans="1:12" x14ac:dyDescent="0.5">
      <c r="A442" s="1" t="s">
        <v>45</v>
      </c>
      <c r="B442" s="1" t="s">
        <v>43</v>
      </c>
      <c r="C442" s="1" t="s">
        <v>44</v>
      </c>
      <c r="D442" s="1">
        <v>2007</v>
      </c>
      <c r="E442" s="1" t="s">
        <v>28</v>
      </c>
      <c r="F442" s="1">
        <v>0</v>
      </c>
      <c r="G442" s="1">
        <v>0</v>
      </c>
      <c r="H442" s="1">
        <v>29.44</v>
      </c>
      <c r="I442" s="1">
        <v>14.48</v>
      </c>
      <c r="J442" s="1">
        <v>0</v>
      </c>
      <c r="K442" s="1">
        <f t="shared" si="6"/>
        <v>43.92</v>
      </c>
      <c r="L442" s="1" t="str">
        <f>_xlfn.XLOOKUP(A442,satellite_programs!A:A,satellite_programs!N:N)</f>
        <v>Retired</v>
      </c>
    </row>
    <row r="443" spans="1:12" x14ac:dyDescent="0.5">
      <c r="A443" s="1" t="s">
        <v>45</v>
      </c>
      <c r="B443" s="1" t="s">
        <v>43</v>
      </c>
      <c r="C443" s="1" t="s">
        <v>44</v>
      </c>
      <c r="D443" s="1">
        <v>2008</v>
      </c>
      <c r="E443" s="1" t="s">
        <v>28</v>
      </c>
      <c r="F443" s="1">
        <v>0</v>
      </c>
      <c r="G443" s="1">
        <v>0</v>
      </c>
      <c r="H443" s="1">
        <v>29.44</v>
      </c>
      <c r="I443" s="1">
        <v>14.91</v>
      </c>
      <c r="J443" s="1">
        <v>0</v>
      </c>
      <c r="K443" s="1">
        <f t="shared" si="6"/>
        <v>44.35</v>
      </c>
      <c r="L443" s="1" t="str">
        <f>_xlfn.XLOOKUP(A443,satellite_programs!A:A,satellite_programs!N:N)</f>
        <v>Retired</v>
      </c>
    </row>
    <row r="444" spans="1:12" x14ac:dyDescent="0.5">
      <c r="A444" s="1" t="s">
        <v>45</v>
      </c>
      <c r="B444" s="1" t="s">
        <v>43</v>
      </c>
      <c r="C444" s="1" t="s">
        <v>44</v>
      </c>
      <c r="D444" s="1">
        <v>2009</v>
      </c>
      <c r="E444" s="1" t="s">
        <v>28</v>
      </c>
      <c r="F444" s="1">
        <v>0</v>
      </c>
      <c r="G444" s="1">
        <v>0</v>
      </c>
      <c r="H444" s="1">
        <v>29.44</v>
      </c>
      <c r="I444" s="1">
        <v>15.35</v>
      </c>
      <c r="J444" s="1">
        <v>0</v>
      </c>
      <c r="K444" s="1">
        <f t="shared" si="6"/>
        <v>44.79</v>
      </c>
      <c r="L444" s="1" t="str">
        <f>_xlfn.XLOOKUP(A444,satellite_programs!A:A,satellite_programs!N:N)</f>
        <v>Retired</v>
      </c>
    </row>
    <row r="445" spans="1:12" x14ac:dyDescent="0.5">
      <c r="A445" s="1" t="s">
        <v>45</v>
      </c>
      <c r="B445" s="1" t="s">
        <v>43</v>
      </c>
      <c r="C445" s="1" t="s">
        <v>44</v>
      </c>
      <c r="D445" s="1">
        <v>2010</v>
      </c>
      <c r="E445" s="1" t="s">
        <v>28</v>
      </c>
      <c r="F445" s="1">
        <v>0</v>
      </c>
      <c r="G445" s="1">
        <v>0</v>
      </c>
      <c r="H445" s="1">
        <v>29.44</v>
      </c>
      <c r="I445" s="1">
        <v>15.78</v>
      </c>
      <c r="J445" s="1">
        <v>0</v>
      </c>
      <c r="K445" s="1">
        <f t="shared" si="6"/>
        <v>45.22</v>
      </c>
      <c r="L445" s="1" t="str">
        <f>_xlfn.XLOOKUP(A445,satellite_programs!A:A,satellite_programs!N:N)</f>
        <v>Retired</v>
      </c>
    </row>
    <row r="446" spans="1:12" x14ac:dyDescent="0.5">
      <c r="A446" s="1" t="s">
        <v>45</v>
      </c>
      <c r="B446" s="1" t="s">
        <v>43</v>
      </c>
      <c r="C446" s="1" t="s">
        <v>44</v>
      </c>
      <c r="D446" s="1">
        <v>2011</v>
      </c>
      <c r="E446" s="1" t="s">
        <v>28</v>
      </c>
      <c r="F446" s="1">
        <v>0</v>
      </c>
      <c r="G446" s="1">
        <v>0</v>
      </c>
      <c r="H446" s="1">
        <v>29.44</v>
      </c>
      <c r="I446" s="1">
        <v>16.22</v>
      </c>
      <c r="J446" s="1">
        <v>0</v>
      </c>
      <c r="K446" s="1">
        <f t="shared" si="6"/>
        <v>45.66</v>
      </c>
      <c r="L446" s="1" t="str">
        <f>_xlfn.XLOOKUP(A446,satellite_programs!A:A,satellite_programs!N:N)</f>
        <v>Retired</v>
      </c>
    </row>
    <row r="447" spans="1:12" x14ac:dyDescent="0.5">
      <c r="A447" s="1" t="s">
        <v>45</v>
      </c>
      <c r="B447" s="1" t="s">
        <v>43</v>
      </c>
      <c r="C447" s="1" t="s">
        <v>44</v>
      </c>
      <c r="D447" s="1">
        <v>2012</v>
      </c>
      <c r="E447" s="1" t="s">
        <v>28</v>
      </c>
      <c r="F447" s="1">
        <v>0</v>
      </c>
      <c r="G447" s="1">
        <v>0</v>
      </c>
      <c r="H447" s="1">
        <v>29.44</v>
      </c>
      <c r="I447" s="1">
        <v>16.649999999999999</v>
      </c>
      <c r="J447" s="1">
        <v>0</v>
      </c>
      <c r="K447" s="1">
        <f t="shared" si="6"/>
        <v>46.09</v>
      </c>
      <c r="L447" s="1" t="str">
        <f>_xlfn.XLOOKUP(A447,satellite_programs!A:A,satellite_programs!N:N)</f>
        <v>Retired</v>
      </c>
    </row>
    <row r="448" spans="1:12" x14ac:dyDescent="0.5">
      <c r="A448" s="1" t="s">
        <v>45</v>
      </c>
      <c r="B448" s="1" t="s">
        <v>43</v>
      </c>
      <c r="C448" s="1" t="s">
        <v>44</v>
      </c>
      <c r="D448" s="1">
        <v>2013</v>
      </c>
      <c r="E448" s="1" t="s">
        <v>28</v>
      </c>
      <c r="F448" s="1">
        <v>0</v>
      </c>
      <c r="G448" s="1">
        <v>0</v>
      </c>
      <c r="H448" s="1">
        <v>29.44</v>
      </c>
      <c r="I448" s="1">
        <v>17.09</v>
      </c>
      <c r="J448" s="1">
        <v>0</v>
      </c>
      <c r="K448" s="1">
        <f t="shared" si="6"/>
        <v>46.53</v>
      </c>
      <c r="L448" s="1" t="str">
        <f>_xlfn.XLOOKUP(A448,satellite_programs!A:A,satellite_programs!N:N)</f>
        <v>Retired</v>
      </c>
    </row>
    <row r="449" spans="1:12" x14ac:dyDescent="0.5">
      <c r="A449" s="1" t="s">
        <v>45</v>
      </c>
      <c r="B449" s="1" t="s">
        <v>43</v>
      </c>
      <c r="C449" s="1" t="s">
        <v>44</v>
      </c>
      <c r="D449" s="1">
        <v>2014</v>
      </c>
      <c r="E449" s="1" t="s">
        <v>28</v>
      </c>
      <c r="F449" s="1">
        <v>0</v>
      </c>
      <c r="G449" s="1">
        <v>0</v>
      </c>
      <c r="H449" s="1">
        <v>29.44</v>
      </c>
      <c r="I449" s="1">
        <v>17.52</v>
      </c>
      <c r="J449" s="1">
        <v>0</v>
      </c>
      <c r="K449" s="1">
        <f t="shared" si="6"/>
        <v>46.96</v>
      </c>
      <c r="L449" s="1" t="str">
        <f>_xlfn.XLOOKUP(A449,satellite_programs!A:A,satellite_programs!N:N)</f>
        <v>Retired</v>
      </c>
    </row>
    <row r="450" spans="1:12" x14ac:dyDescent="0.5">
      <c r="A450" s="1" t="s">
        <v>45</v>
      </c>
      <c r="B450" s="1" t="s">
        <v>43</v>
      </c>
      <c r="C450" s="1" t="s">
        <v>44</v>
      </c>
      <c r="D450" s="1">
        <v>2015</v>
      </c>
      <c r="E450" s="1" t="s">
        <v>28</v>
      </c>
      <c r="F450" s="1">
        <v>0</v>
      </c>
      <c r="G450" s="1">
        <v>0</v>
      </c>
      <c r="H450" s="1">
        <v>29.44</v>
      </c>
      <c r="I450" s="1">
        <v>17.96</v>
      </c>
      <c r="J450" s="1">
        <v>0</v>
      </c>
      <c r="K450" s="1">
        <f t="shared" ref="K450:K513" si="7">SUM(F450:J450)</f>
        <v>47.400000000000006</v>
      </c>
      <c r="L450" s="1" t="str">
        <f>_xlfn.XLOOKUP(A450,satellite_programs!A:A,satellite_programs!N:N)</f>
        <v>Retired</v>
      </c>
    </row>
    <row r="451" spans="1:12" x14ac:dyDescent="0.5">
      <c r="A451" s="1" t="s">
        <v>45</v>
      </c>
      <c r="B451" s="1" t="s">
        <v>43</v>
      </c>
      <c r="C451" s="1" t="s">
        <v>44</v>
      </c>
      <c r="D451" s="1">
        <v>2016</v>
      </c>
      <c r="E451" s="1" t="s">
        <v>28</v>
      </c>
      <c r="F451" s="1">
        <v>0</v>
      </c>
      <c r="G451" s="1">
        <v>0</v>
      </c>
      <c r="H451" s="1">
        <v>29.44</v>
      </c>
      <c r="I451" s="1">
        <v>18.39</v>
      </c>
      <c r="J451" s="1">
        <v>0</v>
      </c>
      <c r="K451" s="1">
        <f t="shared" si="7"/>
        <v>47.83</v>
      </c>
      <c r="L451" s="1" t="str">
        <f>_xlfn.XLOOKUP(A451,satellite_programs!A:A,satellite_programs!N:N)</f>
        <v>Retired</v>
      </c>
    </row>
    <row r="452" spans="1:12" x14ac:dyDescent="0.5">
      <c r="A452" s="1" t="s">
        <v>45</v>
      </c>
      <c r="B452" s="1" t="s">
        <v>43</v>
      </c>
      <c r="C452" s="1" t="s">
        <v>44</v>
      </c>
      <c r="D452" s="1">
        <v>2017</v>
      </c>
      <c r="E452" s="1" t="s">
        <v>28</v>
      </c>
      <c r="F452" s="1">
        <v>0</v>
      </c>
      <c r="G452" s="1">
        <v>0</v>
      </c>
      <c r="H452" s="1">
        <v>29.44</v>
      </c>
      <c r="I452" s="1">
        <v>18.82</v>
      </c>
      <c r="J452" s="1">
        <v>0</v>
      </c>
      <c r="K452" s="1">
        <f t="shared" si="7"/>
        <v>48.260000000000005</v>
      </c>
      <c r="L452" s="1" t="str">
        <f>_xlfn.XLOOKUP(A452,satellite_programs!A:A,satellite_programs!N:N)</f>
        <v>Retired</v>
      </c>
    </row>
    <row r="453" spans="1:12" x14ac:dyDescent="0.5">
      <c r="A453" s="1" t="s">
        <v>45</v>
      </c>
      <c r="B453" s="1" t="s">
        <v>43</v>
      </c>
      <c r="C453" s="1" t="s">
        <v>44</v>
      </c>
      <c r="D453" s="1">
        <v>2018</v>
      </c>
      <c r="E453" s="1" t="s">
        <v>28</v>
      </c>
      <c r="F453" s="1">
        <v>0</v>
      </c>
      <c r="G453" s="1">
        <v>0</v>
      </c>
      <c r="H453" s="1">
        <v>29.44</v>
      </c>
      <c r="I453" s="1">
        <v>19.260000000000002</v>
      </c>
      <c r="J453" s="1">
        <v>0</v>
      </c>
      <c r="K453" s="1">
        <f t="shared" si="7"/>
        <v>48.7</v>
      </c>
      <c r="L453" s="1" t="str">
        <f>_xlfn.XLOOKUP(A453,satellite_programs!A:A,satellite_programs!N:N)</f>
        <v>Retired</v>
      </c>
    </row>
    <row r="454" spans="1:12" x14ac:dyDescent="0.5">
      <c r="A454" s="1" t="s">
        <v>45</v>
      </c>
      <c r="B454" s="1" t="s">
        <v>43</v>
      </c>
      <c r="C454" s="1" t="s">
        <v>44</v>
      </c>
      <c r="D454" s="1">
        <v>2020</v>
      </c>
      <c r="E454" s="1" t="s">
        <v>103</v>
      </c>
      <c r="F454" s="1">
        <v>0</v>
      </c>
      <c r="G454" s="1">
        <v>0</v>
      </c>
      <c r="H454" s="1">
        <v>0</v>
      </c>
      <c r="I454" s="1">
        <v>0</v>
      </c>
      <c r="J454" s="1">
        <v>13.92</v>
      </c>
      <c r="K454" s="1">
        <f t="shared" si="7"/>
        <v>13.92</v>
      </c>
      <c r="L454" s="1" t="str">
        <f>_xlfn.XLOOKUP(A454,satellite_programs!A:A,satellite_programs!N:N)</f>
        <v>Retired</v>
      </c>
    </row>
    <row r="455" spans="1:12" x14ac:dyDescent="0.5">
      <c r="A455" s="1" t="s">
        <v>46</v>
      </c>
      <c r="B455" s="1" t="s">
        <v>43</v>
      </c>
      <c r="C455" s="1" t="s">
        <v>44</v>
      </c>
      <c r="D455" s="1">
        <v>2003</v>
      </c>
      <c r="E455" s="1" t="s">
        <v>104</v>
      </c>
      <c r="F455" s="1">
        <v>8.0500000000000007</v>
      </c>
      <c r="G455" s="1">
        <v>0</v>
      </c>
      <c r="H455" s="1">
        <v>0</v>
      </c>
      <c r="I455" s="1">
        <v>0</v>
      </c>
      <c r="J455" s="1">
        <v>0</v>
      </c>
      <c r="K455" s="1">
        <f t="shared" si="7"/>
        <v>8.0500000000000007</v>
      </c>
      <c r="L455" s="1" t="str">
        <f>_xlfn.XLOOKUP(A455,satellite_programs!A:A,satellite_programs!N:N)</f>
        <v>Retired</v>
      </c>
    </row>
    <row r="456" spans="1:12" x14ac:dyDescent="0.5">
      <c r="A456" s="1" t="s">
        <v>46</v>
      </c>
      <c r="B456" s="1" t="s">
        <v>43</v>
      </c>
      <c r="C456" s="1" t="s">
        <v>44</v>
      </c>
      <c r="D456" s="1">
        <v>2004</v>
      </c>
      <c r="E456" s="1" t="s">
        <v>104</v>
      </c>
      <c r="F456" s="1">
        <v>16.09</v>
      </c>
      <c r="G456" s="1">
        <v>0</v>
      </c>
      <c r="H456" s="1">
        <v>0</v>
      </c>
      <c r="I456" s="1">
        <v>0</v>
      </c>
      <c r="J456" s="1">
        <v>0</v>
      </c>
      <c r="K456" s="1">
        <f t="shared" si="7"/>
        <v>16.09</v>
      </c>
      <c r="L456" s="1" t="str">
        <f>_xlfn.XLOOKUP(A456,satellite_programs!A:A,satellite_programs!N:N)</f>
        <v>Retired</v>
      </c>
    </row>
    <row r="457" spans="1:12" x14ac:dyDescent="0.5">
      <c r="A457" s="1" t="s">
        <v>46</v>
      </c>
      <c r="B457" s="1" t="s">
        <v>43</v>
      </c>
      <c r="C457" s="1" t="s">
        <v>44</v>
      </c>
      <c r="D457" s="1">
        <v>2005</v>
      </c>
      <c r="E457" s="1" t="s">
        <v>104</v>
      </c>
      <c r="F457" s="1">
        <v>28.97</v>
      </c>
      <c r="G457" s="1">
        <v>0</v>
      </c>
      <c r="H457" s="1">
        <v>0</v>
      </c>
      <c r="I457" s="1">
        <v>0</v>
      </c>
      <c r="J457" s="1">
        <v>0</v>
      </c>
      <c r="K457" s="1">
        <f t="shared" si="7"/>
        <v>28.97</v>
      </c>
      <c r="L457" s="1" t="str">
        <f>_xlfn.XLOOKUP(A457,satellite_programs!A:A,satellite_programs!N:N)</f>
        <v>Retired</v>
      </c>
    </row>
    <row r="458" spans="1:12" x14ac:dyDescent="0.5">
      <c r="A458" s="1" t="s">
        <v>46</v>
      </c>
      <c r="B458" s="1" t="s">
        <v>43</v>
      </c>
      <c r="C458" s="1" t="s">
        <v>44</v>
      </c>
      <c r="D458" s="1">
        <v>2006</v>
      </c>
      <c r="E458" s="1" t="s">
        <v>104</v>
      </c>
      <c r="F458" s="1">
        <v>35.409999999999997</v>
      </c>
      <c r="G458" s="1">
        <v>0</v>
      </c>
      <c r="H458" s="1">
        <v>0</v>
      </c>
      <c r="I458" s="1">
        <v>0</v>
      </c>
      <c r="J458" s="1">
        <v>0</v>
      </c>
      <c r="K458" s="1">
        <f t="shared" si="7"/>
        <v>35.409999999999997</v>
      </c>
      <c r="L458" s="1" t="str">
        <f>_xlfn.XLOOKUP(A458,satellite_programs!A:A,satellite_programs!N:N)</f>
        <v>Retired</v>
      </c>
    </row>
    <row r="459" spans="1:12" x14ac:dyDescent="0.5">
      <c r="A459" s="1" t="s">
        <v>46</v>
      </c>
      <c r="B459" s="1" t="s">
        <v>43</v>
      </c>
      <c r="C459" s="1" t="s">
        <v>44</v>
      </c>
      <c r="D459" s="1">
        <v>2007</v>
      </c>
      <c r="E459" s="1" t="s">
        <v>104</v>
      </c>
      <c r="F459" s="1">
        <v>32.19</v>
      </c>
      <c r="G459" s="1">
        <v>31.16</v>
      </c>
      <c r="H459" s="1">
        <v>0</v>
      </c>
      <c r="I459" s="1">
        <v>0</v>
      </c>
      <c r="J459" s="1">
        <v>0</v>
      </c>
      <c r="K459" s="1">
        <f t="shared" si="7"/>
        <v>63.349999999999994</v>
      </c>
      <c r="L459" s="1" t="str">
        <f>_xlfn.XLOOKUP(A459,satellite_programs!A:A,satellite_programs!N:N)</f>
        <v>Retired</v>
      </c>
    </row>
    <row r="460" spans="1:12" x14ac:dyDescent="0.5">
      <c r="A460" s="1" t="s">
        <v>46</v>
      </c>
      <c r="B460" s="1" t="s">
        <v>43</v>
      </c>
      <c r="C460" s="1" t="s">
        <v>44</v>
      </c>
      <c r="D460" s="1">
        <v>2008</v>
      </c>
      <c r="E460" s="1" t="s">
        <v>104</v>
      </c>
      <c r="F460" s="1">
        <v>20.91</v>
      </c>
      <c r="G460" s="1">
        <v>25.49</v>
      </c>
      <c r="H460" s="1">
        <v>0</v>
      </c>
      <c r="I460" s="1">
        <v>0</v>
      </c>
      <c r="J460" s="1">
        <v>0</v>
      </c>
      <c r="K460" s="1">
        <f t="shared" si="7"/>
        <v>46.4</v>
      </c>
      <c r="L460" s="1" t="str">
        <f>_xlfn.XLOOKUP(A460,satellite_programs!A:A,satellite_programs!N:N)</f>
        <v>Retired</v>
      </c>
    </row>
    <row r="461" spans="1:12" x14ac:dyDescent="0.5">
      <c r="A461" s="1" t="s">
        <v>46</v>
      </c>
      <c r="B461" s="1" t="s">
        <v>43</v>
      </c>
      <c r="C461" s="1" t="s">
        <v>44</v>
      </c>
      <c r="D461" s="1">
        <v>2009</v>
      </c>
      <c r="E461" s="1" t="s">
        <v>28</v>
      </c>
      <c r="F461" s="1">
        <v>0</v>
      </c>
      <c r="G461" s="1">
        <v>0</v>
      </c>
      <c r="H461" s="1">
        <v>31.48</v>
      </c>
      <c r="I461" s="1">
        <v>14.72</v>
      </c>
      <c r="J461" s="1">
        <v>0</v>
      </c>
      <c r="K461" s="1">
        <f t="shared" si="7"/>
        <v>46.2</v>
      </c>
      <c r="L461" s="1" t="str">
        <f>_xlfn.XLOOKUP(A461,satellite_programs!A:A,satellite_programs!N:N)</f>
        <v>Retired</v>
      </c>
    </row>
    <row r="462" spans="1:12" x14ac:dyDescent="0.5">
      <c r="A462" s="1" t="s">
        <v>46</v>
      </c>
      <c r="B462" s="1" t="s">
        <v>43</v>
      </c>
      <c r="C462" s="1" t="s">
        <v>44</v>
      </c>
      <c r="D462" s="1">
        <v>2010</v>
      </c>
      <c r="E462" s="1" t="s">
        <v>28</v>
      </c>
      <c r="F462" s="1">
        <v>0</v>
      </c>
      <c r="G462" s="1">
        <v>0</v>
      </c>
      <c r="H462" s="1">
        <v>31.48</v>
      </c>
      <c r="I462" s="1">
        <v>15.16</v>
      </c>
      <c r="J462" s="1">
        <v>0</v>
      </c>
      <c r="K462" s="1">
        <f t="shared" si="7"/>
        <v>46.64</v>
      </c>
      <c r="L462" s="1" t="str">
        <f>_xlfn.XLOOKUP(A462,satellite_programs!A:A,satellite_programs!N:N)</f>
        <v>Retired</v>
      </c>
    </row>
    <row r="463" spans="1:12" x14ac:dyDescent="0.5">
      <c r="A463" s="1" t="s">
        <v>46</v>
      </c>
      <c r="B463" s="1" t="s">
        <v>43</v>
      </c>
      <c r="C463" s="1" t="s">
        <v>44</v>
      </c>
      <c r="D463" s="1">
        <v>2011</v>
      </c>
      <c r="E463" s="1" t="s">
        <v>28</v>
      </c>
      <c r="F463" s="1">
        <v>0</v>
      </c>
      <c r="G463" s="1">
        <v>0</v>
      </c>
      <c r="H463" s="1">
        <v>31.48</v>
      </c>
      <c r="I463" s="1">
        <v>15.6</v>
      </c>
      <c r="J463" s="1">
        <v>0</v>
      </c>
      <c r="K463" s="1">
        <f t="shared" si="7"/>
        <v>47.08</v>
      </c>
      <c r="L463" s="1" t="str">
        <f>_xlfn.XLOOKUP(A463,satellite_programs!A:A,satellite_programs!N:N)</f>
        <v>Retired</v>
      </c>
    </row>
    <row r="464" spans="1:12" x14ac:dyDescent="0.5">
      <c r="A464" s="1" t="s">
        <v>46</v>
      </c>
      <c r="B464" s="1" t="s">
        <v>43</v>
      </c>
      <c r="C464" s="1" t="s">
        <v>44</v>
      </c>
      <c r="D464" s="1">
        <v>2012</v>
      </c>
      <c r="E464" s="1" t="s">
        <v>28</v>
      </c>
      <c r="F464" s="1">
        <v>0</v>
      </c>
      <c r="G464" s="1">
        <v>0</v>
      </c>
      <c r="H464" s="1">
        <v>31.48</v>
      </c>
      <c r="I464" s="1">
        <v>16.04</v>
      </c>
      <c r="J464" s="1">
        <v>0</v>
      </c>
      <c r="K464" s="1">
        <f t="shared" si="7"/>
        <v>47.519999999999996</v>
      </c>
      <c r="L464" s="1" t="str">
        <f>_xlfn.XLOOKUP(A464,satellite_programs!A:A,satellite_programs!N:N)</f>
        <v>Retired</v>
      </c>
    </row>
    <row r="465" spans="1:12" x14ac:dyDescent="0.5">
      <c r="A465" s="1" t="s">
        <v>46</v>
      </c>
      <c r="B465" s="1" t="s">
        <v>43</v>
      </c>
      <c r="C465" s="1" t="s">
        <v>44</v>
      </c>
      <c r="D465" s="1">
        <v>2013</v>
      </c>
      <c r="E465" s="1" t="s">
        <v>28</v>
      </c>
      <c r="F465" s="1">
        <v>0</v>
      </c>
      <c r="G465" s="1">
        <v>0</v>
      </c>
      <c r="H465" s="1">
        <v>31.48</v>
      </c>
      <c r="I465" s="1">
        <v>16.489999999999998</v>
      </c>
      <c r="J465" s="1">
        <v>0</v>
      </c>
      <c r="K465" s="1">
        <f t="shared" si="7"/>
        <v>47.97</v>
      </c>
      <c r="L465" s="1" t="str">
        <f>_xlfn.XLOOKUP(A465,satellite_programs!A:A,satellite_programs!N:N)</f>
        <v>Retired</v>
      </c>
    </row>
    <row r="466" spans="1:12" x14ac:dyDescent="0.5">
      <c r="A466" s="1" t="s">
        <v>46</v>
      </c>
      <c r="B466" s="1" t="s">
        <v>43</v>
      </c>
      <c r="C466" s="1" t="s">
        <v>44</v>
      </c>
      <c r="D466" s="1">
        <v>2014</v>
      </c>
      <c r="E466" s="1" t="s">
        <v>28</v>
      </c>
      <c r="F466" s="1">
        <v>0</v>
      </c>
      <c r="G466" s="1">
        <v>0</v>
      </c>
      <c r="H466" s="1">
        <v>31.48</v>
      </c>
      <c r="I466" s="1">
        <v>16.93</v>
      </c>
      <c r="J466" s="1">
        <v>0</v>
      </c>
      <c r="K466" s="1">
        <f t="shared" si="7"/>
        <v>48.41</v>
      </c>
      <c r="L466" s="1" t="str">
        <f>_xlfn.XLOOKUP(A466,satellite_programs!A:A,satellite_programs!N:N)</f>
        <v>Retired</v>
      </c>
    </row>
    <row r="467" spans="1:12" x14ac:dyDescent="0.5">
      <c r="A467" s="1" t="s">
        <v>46</v>
      </c>
      <c r="B467" s="1" t="s">
        <v>43</v>
      </c>
      <c r="C467" s="1" t="s">
        <v>44</v>
      </c>
      <c r="D467" s="1">
        <v>2015</v>
      </c>
      <c r="E467" s="1" t="s">
        <v>28</v>
      </c>
      <c r="F467" s="1">
        <v>0</v>
      </c>
      <c r="G467" s="1">
        <v>0</v>
      </c>
      <c r="H467" s="1">
        <v>31.48</v>
      </c>
      <c r="I467" s="1">
        <v>17.37</v>
      </c>
      <c r="J467" s="1">
        <v>0</v>
      </c>
      <c r="K467" s="1">
        <f t="shared" si="7"/>
        <v>48.85</v>
      </c>
      <c r="L467" s="1" t="str">
        <f>_xlfn.XLOOKUP(A467,satellite_programs!A:A,satellite_programs!N:N)</f>
        <v>Retired</v>
      </c>
    </row>
    <row r="468" spans="1:12" x14ac:dyDescent="0.5">
      <c r="A468" s="1" t="s">
        <v>46</v>
      </c>
      <c r="B468" s="1" t="s">
        <v>43</v>
      </c>
      <c r="C468" s="1" t="s">
        <v>44</v>
      </c>
      <c r="D468" s="1">
        <v>2016</v>
      </c>
      <c r="E468" s="1" t="s">
        <v>28</v>
      </c>
      <c r="F468" s="1">
        <v>0</v>
      </c>
      <c r="G468" s="1">
        <v>0</v>
      </c>
      <c r="H468" s="1">
        <v>31.48</v>
      </c>
      <c r="I468" s="1">
        <v>17.809999999999999</v>
      </c>
      <c r="J468" s="1">
        <v>0</v>
      </c>
      <c r="K468" s="1">
        <f t="shared" si="7"/>
        <v>49.29</v>
      </c>
      <c r="L468" s="1" t="str">
        <f>_xlfn.XLOOKUP(A468,satellite_programs!A:A,satellite_programs!N:N)</f>
        <v>Retired</v>
      </c>
    </row>
    <row r="469" spans="1:12" x14ac:dyDescent="0.5">
      <c r="A469" s="1" t="s">
        <v>46</v>
      </c>
      <c r="B469" s="1" t="s">
        <v>43</v>
      </c>
      <c r="C469" s="1" t="s">
        <v>44</v>
      </c>
      <c r="D469" s="1">
        <v>2017</v>
      </c>
      <c r="E469" s="1" t="s">
        <v>28</v>
      </c>
      <c r="F469" s="1">
        <v>0</v>
      </c>
      <c r="G469" s="1">
        <v>0</v>
      </c>
      <c r="H469" s="1">
        <v>31.48</v>
      </c>
      <c r="I469" s="1">
        <v>18.25</v>
      </c>
      <c r="J469" s="1">
        <v>0</v>
      </c>
      <c r="K469" s="1">
        <f t="shared" si="7"/>
        <v>49.730000000000004</v>
      </c>
      <c r="L469" s="1" t="str">
        <f>_xlfn.XLOOKUP(A469,satellite_programs!A:A,satellite_programs!N:N)</f>
        <v>Retired</v>
      </c>
    </row>
    <row r="470" spans="1:12" x14ac:dyDescent="0.5">
      <c r="A470" s="1" t="s">
        <v>46</v>
      </c>
      <c r="B470" s="1" t="s">
        <v>43</v>
      </c>
      <c r="C470" s="1" t="s">
        <v>44</v>
      </c>
      <c r="D470" s="1">
        <v>2018</v>
      </c>
      <c r="E470" s="1" t="s">
        <v>28</v>
      </c>
      <c r="F470" s="1">
        <v>0</v>
      </c>
      <c r="G470" s="1">
        <v>0</v>
      </c>
      <c r="H470" s="1">
        <v>31.48</v>
      </c>
      <c r="I470" s="1">
        <v>18.690000000000001</v>
      </c>
      <c r="J470" s="1">
        <v>0</v>
      </c>
      <c r="K470" s="1">
        <f t="shared" si="7"/>
        <v>50.17</v>
      </c>
      <c r="L470" s="1" t="str">
        <f>_xlfn.XLOOKUP(A470,satellite_programs!A:A,satellite_programs!N:N)</f>
        <v>Retired</v>
      </c>
    </row>
    <row r="471" spans="1:12" x14ac:dyDescent="0.5">
      <c r="A471" s="1" t="s">
        <v>46</v>
      </c>
      <c r="B471" s="1" t="s">
        <v>43</v>
      </c>
      <c r="C471" s="1" t="s">
        <v>44</v>
      </c>
      <c r="D471" s="1">
        <v>2019</v>
      </c>
      <c r="E471" s="1" t="s">
        <v>28</v>
      </c>
      <c r="F471" s="1">
        <v>0</v>
      </c>
      <c r="G471" s="1">
        <v>0</v>
      </c>
      <c r="H471" s="1">
        <v>31.48</v>
      </c>
      <c r="I471" s="1">
        <v>19.14</v>
      </c>
      <c r="J471" s="1">
        <v>0</v>
      </c>
      <c r="K471" s="1">
        <f t="shared" si="7"/>
        <v>50.620000000000005</v>
      </c>
      <c r="L471" s="1" t="str">
        <f>_xlfn.XLOOKUP(A471,satellite_programs!A:A,satellite_programs!N:N)</f>
        <v>Retired</v>
      </c>
    </row>
    <row r="472" spans="1:12" x14ac:dyDescent="0.5">
      <c r="A472" s="1" t="s">
        <v>46</v>
      </c>
      <c r="B472" s="1" t="s">
        <v>43</v>
      </c>
      <c r="C472" s="1" t="s">
        <v>44</v>
      </c>
      <c r="D472" s="1">
        <v>2020</v>
      </c>
      <c r="E472" s="1" t="s">
        <v>28</v>
      </c>
      <c r="F472" s="1">
        <v>0</v>
      </c>
      <c r="G472" s="1">
        <v>0</v>
      </c>
      <c r="H472" s="1">
        <v>31.48</v>
      </c>
      <c r="I472" s="1">
        <v>19.579999999999998</v>
      </c>
      <c r="J472" s="1">
        <v>0</v>
      </c>
      <c r="K472" s="1">
        <f t="shared" si="7"/>
        <v>51.06</v>
      </c>
      <c r="L472" s="1" t="str">
        <f>_xlfn.XLOOKUP(A472,satellite_programs!A:A,satellite_programs!N:N)</f>
        <v>Retired</v>
      </c>
    </row>
    <row r="473" spans="1:12" x14ac:dyDescent="0.5">
      <c r="A473" s="1" t="s">
        <v>46</v>
      </c>
      <c r="B473" s="1" t="s">
        <v>43</v>
      </c>
      <c r="C473" s="1" t="s">
        <v>44</v>
      </c>
      <c r="D473" s="1">
        <v>2021</v>
      </c>
      <c r="E473" s="1" t="s">
        <v>28</v>
      </c>
      <c r="F473" s="1">
        <v>0</v>
      </c>
      <c r="G473" s="1">
        <v>0</v>
      </c>
      <c r="H473" s="1">
        <v>31.48</v>
      </c>
      <c r="I473" s="1">
        <v>20.02</v>
      </c>
      <c r="J473" s="1">
        <v>0</v>
      </c>
      <c r="K473" s="1">
        <f t="shared" si="7"/>
        <v>51.5</v>
      </c>
      <c r="L473" s="1" t="str">
        <f>_xlfn.XLOOKUP(A473,satellite_programs!A:A,satellite_programs!N:N)</f>
        <v>Retired</v>
      </c>
    </row>
    <row r="474" spans="1:12" x14ac:dyDescent="0.5">
      <c r="A474" s="1" t="s">
        <v>46</v>
      </c>
      <c r="B474" s="1" t="s">
        <v>43</v>
      </c>
      <c r="C474" s="1" t="s">
        <v>44</v>
      </c>
      <c r="D474" s="1">
        <v>2022</v>
      </c>
      <c r="E474" s="1" t="s">
        <v>28</v>
      </c>
      <c r="F474" s="1">
        <v>0</v>
      </c>
      <c r="G474" s="1">
        <v>0</v>
      </c>
      <c r="H474" s="1">
        <v>31.48</v>
      </c>
      <c r="I474" s="1">
        <v>20.46</v>
      </c>
      <c r="J474" s="1">
        <v>0</v>
      </c>
      <c r="K474" s="1">
        <f t="shared" si="7"/>
        <v>51.94</v>
      </c>
      <c r="L474" s="1" t="str">
        <f>_xlfn.XLOOKUP(A474,satellite_programs!A:A,satellite_programs!N:N)</f>
        <v>Retired</v>
      </c>
    </row>
    <row r="475" spans="1:12" x14ac:dyDescent="0.5">
      <c r="A475" s="1" t="s">
        <v>46</v>
      </c>
      <c r="B475" s="1" t="s">
        <v>43</v>
      </c>
      <c r="C475" s="1" t="s">
        <v>44</v>
      </c>
      <c r="D475" s="1">
        <v>2023</v>
      </c>
      <c r="E475" s="1" t="s">
        <v>28</v>
      </c>
      <c r="F475" s="1">
        <v>0</v>
      </c>
      <c r="G475" s="1">
        <v>0</v>
      </c>
      <c r="H475" s="1">
        <v>31.48</v>
      </c>
      <c r="I475" s="1">
        <v>20.9</v>
      </c>
      <c r="J475" s="1">
        <v>0</v>
      </c>
      <c r="K475" s="1">
        <f t="shared" si="7"/>
        <v>52.379999999999995</v>
      </c>
      <c r="L475" s="1" t="str">
        <f>_xlfn.XLOOKUP(A475,satellite_programs!A:A,satellite_programs!N:N)</f>
        <v>Retired</v>
      </c>
    </row>
    <row r="476" spans="1:12" x14ac:dyDescent="0.5">
      <c r="A476" s="1" t="s">
        <v>46</v>
      </c>
      <c r="B476" s="1" t="s">
        <v>43</v>
      </c>
      <c r="C476" s="1" t="s">
        <v>44</v>
      </c>
      <c r="D476" s="1">
        <v>2025</v>
      </c>
      <c r="E476" s="1" t="s">
        <v>103</v>
      </c>
      <c r="F476" s="1">
        <v>0</v>
      </c>
      <c r="G476" s="1">
        <v>0</v>
      </c>
      <c r="H476" s="1">
        <v>0</v>
      </c>
      <c r="I476" s="1">
        <v>0</v>
      </c>
      <c r="J476" s="1">
        <v>14.04</v>
      </c>
      <c r="K476" s="1">
        <f t="shared" si="7"/>
        <v>14.04</v>
      </c>
      <c r="L476" s="1" t="str">
        <f>_xlfn.XLOOKUP(A476,satellite_programs!A:A,satellite_programs!N:N)</f>
        <v>Retired</v>
      </c>
    </row>
    <row r="477" spans="1:12" x14ac:dyDescent="0.5">
      <c r="A477" s="1" t="s">
        <v>47</v>
      </c>
      <c r="B477" s="1" t="s">
        <v>43</v>
      </c>
      <c r="C477" s="1" t="s">
        <v>44</v>
      </c>
      <c r="D477" s="1">
        <v>2006</v>
      </c>
      <c r="E477" s="1" t="s">
        <v>104</v>
      </c>
      <c r="F477" s="1">
        <v>8.44</v>
      </c>
      <c r="G477" s="1">
        <v>0</v>
      </c>
      <c r="H477" s="1">
        <v>0</v>
      </c>
      <c r="I477" s="1">
        <v>0</v>
      </c>
      <c r="J477" s="1">
        <v>0</v>
      </c>
      <c r="K477" s="1">
        <f t="shared" si="7"/>
        <v>8.44</v>
      </c>
      <c r="L477" s="1" t="str">
        <f>_xlfn.XLOOKUP(A477,satellite_programs!A:A,satellite_programs!N:N)</f>
        <v>Operations</v>
      </c>
    </row>
    <row r="478" spans="1:12" x14ac:dyDescent="0.5">
      <c r="A478" s="1" t="s">
        <v>47</v>
      </c>
      <c r="B478" s="1" t="s">
        <v>43</v>
      </c>
      <c r="C478" s="1" t="s">
        <v>44</v>
      </c>
      <c r="D478" s="1">
        <v>2007</v>
      </c>
      <c r="E478" s="1" t="s">
        <v>104</v>
      </c>
      <c r="F478" s="1">
        <v>16.87</v>
      </c>
      <c r="G478" s="1">
        <v>0</v>
      </c>
      <c r="H478" s="1">
        <v>0</v>
      </c>
      <c r="I478" s="1">
        <v>0</v>
      </c>
      <c r="J478" s="1">
        <v>0</v>
      </c>
      <c r="K478" s="1">
        <f t="shared" si="7"/>
        <v>16.87</v>
      </c>
      <c r="L478" s="1" t="str">
        <f>_xlfn.XLOOKUP(A478,satellite_programs!A:A,satellite_programs!N:N)</f>
        <v>Operations</v>
      </c>
    </row>
    <row r="479" spans="1:12" x14ac:dyDescent="0.5">
      <c r="A479" s="1" t="s">
        <v>47</v>
      </c>
      <c r="B479" s="1" t="s">
        <v>43</v>
      </c>
      <c r="C479" s="1" t="s">
        <v>44</v>
      </c>
      <c r="D479" s="1">
        <v>2008</v>
      </c>
      <c r="E479" s="1" t="s">
        <v>104</v>
      </c>
      <c r="F479" s="1">
        <v>30.37</v>
      </c>
      <c r="G479" s="1">
        <v>0</v>
      </c>
      <c r="H479" s="1">
        <v>0</v>
      </c>
      <c r="I479" s="1">
        <v>0</v>
      </c>
      <c r="J479" s="1">
        <v>0</v>
      </c>
      <c r="K479" s="1">
        <f t="shared" si="7"/>
        <v>30.37</v>
      </c>
      <c r="L479" s="1" t="str">
        <f>_xlfn.XLOOKUP(A479,satellite_programs!A:A,satellite_programs!N:N)</f>
        <v>Operations</v>
      </c>
    </row>
    <row r="480" spans="1:12" x14ac:dyDescent="0.5">
      <c r="A480" s="1" t="s">
        <v>47</v>
      </c>
      <c r="B480" s="1" t="s">
        <v>43</v>
      </c>
      <c r="C480" s="1" t="s">
        <v>44</v>
      </c>
      <c r="D480" s="1">
        <v>2009</v>
      </c>
      <c r="E480" s="1" t="s">
        <v>104</v>
      </c>
      <c r="F480" s="1">
        <v>37.119999999999997</v>
      </c>
      <c r="G480" s="1">
        <v>0</v>
      </c>
      <c r="H480" s="1">
        <v>0</v>
      </c>
      <c r="I480" s="1">
        <v>0</v>
      </c>
      <c r="J480" s="1">
        <v>0</v>
      </c>
      <c r="K480" s="1">
        <f t="shared" si="7"/>
        <v>37.119999999999997</v>
      </c>
      <c r="L480" s="1" t="str">
        <f>_xlfn.XLOOKUP(A480,satellite_programs!A:A,satellite_programs!N:N)</f>
        <v>Operations</v>
      </c>
    </row>
    <row r="481" spans="1:12" x14ac:dyDescent="0.5">
      <c r="A481" s="1" t="s">
        <v>47</v>
      </c>
      <c r="B481" s="1" t="s">
        <v>43</v>
      </c>
      <c r="C481" s="1" t="s">
        <v>44</v>
      </c>
      <c r="D481" s="1">
        <v>2010</v>
      </c>
      <c r="E481" s="1" t="s">
        <v>104</v>
      </c>
      <c r="F481" s="1">
        <v>33.74</v>
      </c>
      <c r="G481" s="1">
        <v>32.659999999999997</v>
      </c>
      <c r="H481" s="1">
        <v>0</v>
      </c>
      <c r="I481" s="1">
        <v>0</v>
      </c>
      <c r="J481" s="1">
        <v>0</v>
      </c>
      <c r="K481" s="1">
        <f t="shared" si="7"/>
        <v>66.400000000000006</v>
      </c>
      <c r="L481" s="1" t="str">
        <f>_xlfn.XLOOKUP(A481,satellite_programs!A:A,satellite_programs!N:N)</f>
        <v>Operations</v>
      </c>
    </row>
    <row r="482" spans="1:12" x14ac:dyDescent="0.5">
      <c r="A482" s="1" t="s">
        <v>47</v>
      </c>
      <c r="B482" s="1" t="s">
        <v>43</v>
      </c>
      <c r="C482" s="1" t="s">
        <v>44</v>
      </c>
      <c r="D482" s="1">
        <v>2011</v>
      </c>
      <c r="E482" s="1" t="s">
        <v>104</v>
      </c>
      <c r="F482" s="1">
        <v>21.92</v>
      </c>
      <c r="G482" s="1">
        <v>26.72</v>
      </c>
      <c r="H482" s="1">
        <v>0</v>
      </c>
      <c r="I482" s="1">
        <v>0</v>
      </c>
      <c r="J482" s="1">
        <v>0</v>
      </c>
      <c r="K482" s="1">
        <f t="shared" si="7"/>
        <v>48.64</v>
      </c>
      <c r="L482" s="1" t="str">
        <f>_xlfn.XLOOKUP(A482,satellite_programs!A:A,satellite_programs!N:N)</f>
        <v>Operations</v>
      </c>
    </row>
    <row r="483" spans="1:12" x14ac:dyDescent="0.5">
      <c r="A483" s="1" t="s">
        <v>47</v>
      </c>
      <c r="B483" s="1" t="s">
        <v>43</v>
      </c>
      <c r="C483" s="1" t="s">
        <v>44</v>
      </c>
      <c r="D483" s="1">
        <v>2012</v>
      </c>
      <c r="E483" s="1" t="s">
        <v>28</v>
      </c>
      <c r="F483" s="1">
        <v>0</v>
      </c>
      <c r="G483" s="1">
        <v>0</v>
      </c>
      <c r="H483" s="1">
        <v>31.72</v>
      </c>
      <c r="I483" s="1">
        <v>14.84</v>
      </c>
      <c r="J483" s="1">
        <v>0</v>
      </c>
      <c r="K483" s="1">
        <f t="shared" si="7"/>
        <v>46.56</v>
      </c>
      <c r="L483" s="1" t="str">
        <f>_xlfn.XLOOKUP(A483,satellite_programs!A:A,satellite_programs!N:N)</f>
        <v>Operations</v>
      </c>
    </row>
    <row r="484" spans="1:12" x14ac:dyDescent="0.5">
      <c r="A484" s="1" t="s">
        <v>47</v>
      </c>
      <c r="B484" s="1" t="s">
        <v>43</v>
      </c>
      <c r="C484" s="1" t="s">
        <v>44</v>
      </c>
      <c r="D484" s="1">
        <v>2013</v>
      </c>
      <c r="E484" s="1" t="s">
        <v>28</v>
      </c>
      <c r="F484" s="1">
        <v>0</v>
      </c>
      <c r="G484" s="1">
        <v>0</v>
      </c>
      <c r="H484" s="1">
        <v>31.72</v>
      </c>
      <c r="I484" s="1">
        <v>15.29</v>
      </c>
      <c r="J484" s="1">
        <v>0</v>
      </c>
      <c r="K484" s="1">
        <f t="shared" si="7"/>
        <v>47.01</v>
      </c>
      <c r="L484" s="1" t="str">
        <f>_xlfn.XLOOKUP(A484,satellite_programs!A:A,satellite_programs!N:N)</f>
        <v>Operations</v>
      </c>
    </row>
    <row r="485" spans="1:12" x14ac:dyDescent="0.5">
      <c r="A485" s="1" t="s">
        <v>47</v>
      </c>
      <c r="B485" s="1" t="s">
        <v>43</v>
      </c>
      <c r="C485" s="1" t="s">
        <v>44</v>
      </c>
      <c r="D485" s="1">
        <v>2014</v>
      </c>
      <c r="E485" s="1" t="s">
        <v>28</v>
      </c>
      <c r="F485" s="1">
        <v>0</v>
      </c>
      <c r="G485" s="1">
        <v>0</v>
      </c>
      <c r="H485" s="1">
        <v>31.72</v>
      </c>
      <c r="I485" s="1">
        <v>15.73</v>
      </c>
      <c r="J485" s="1">
        <v>0</v>
      </c>
      <c r="K485" s="1">
        <f t="shared" si="7"/>
        <v>47.45</v>
      </c>
      <c r="L485" s="1" t="str">
        <f>_xlfn.XLOOKUP(A485,satellite_programs!A:A,satellite_programs!N:N)</f>
        <v>Operations</v>
      </c>
    </row>
    <row r="486" spans="1:12" x14ac:dyDescent="0.5">
      <c r="A486" s="1" t="s">
        <v>47</v>
      </c>
      <c r="B486" s="1" t="s">
        <v>43</v>
      </c>
      <c r="C486" s="1" t="s">
        <v>44</v>
      </c>
      <c r="D486" s="1">
        <v>2015</v>
      </c>
      <c r="E486" s="1" t="s">
        <v>28</v>
      </c>
      <c r="F486" s="1">
        <v>0</v>
      </c>
      <c r="G486" s="1">
        <v>0</v>
      </c>
      <c r="H486" s="1">
        <v>31.72</v>
      </c>
      <c r="I486" s="1">
        <v>16.18</v>
      </c>
      <c r="J486" s="1">
        <v>0</v>
      </c>
      <c r="K486" s="1">
        <f t="shared" si="7"/>
        <v>47.9</v>
      </c>
      <c r="L486" s="1" t="str">
        <f>_xlfn.XLOOKUP(A486,satellite_programs!A:A,satellite_programs!N:N)</f>
        <v>Operations</v>
      </c>
    </row>
    <row r="487" spans="1:12" x14ac:dyDescent="0.5">
      <c r="A487" s="1" t="s">
        <v>47</v>
      </c>
      <c r="B487" s="1" t="s">
        <v>43</v>
      </c>
      <c r="C487" s="1" t="s">
        <v>44</v>
      </c>
      <c r="D487" s="1">
        <v>2016</v>
      </c>
      <c r="E487" s="1" t="s">
        <v>28</v>
      </c>
      <c r="F487" s="1">
        <v>0</v>
      </c>
      <c r="G487" s="1">
        <v>0</v>
      </c>
      <c r="H487" s="1">
        <v>31.72</v>
      </c>
      <c r="I487" s="1">
        <v>16.62</v>
      </c>
      <c r="J487" s="1">
        <v>0</v>
      </c>
      <c r="K487" s="1">
        <f t="shared" si="7"/>
        <v>48.34</v>
      </c>
      <c r="L487" s="1" t="str">
        <f>_xlfn.XLOOKUP(A487,satellite_programs!A:A,satellite_programs!N:N)</f>
        <v>Operations</v>
      </c>
    </row>
    <row r="488" spans="1:12" x14ac:dyDescent="0.5">
      <c r="A488" s="1" t="s">
        <v>47</v>
      </c>
      <c r="B488" s="1" t="s">
        <v>43</v>
      </c>
      <c r="C488" s="1" t="s">
        <v>44</v>
      </c>
      <c r="D488" s="1">
        <v>2017</v>
      </c>
      <c r="E488" s="1" t="s">
        <v>28</v>
      </c>
      <c r="F488" s="1">
        <v>0</v>
      </c>
      <c r="G488" s="1">
        <v>0</v>
      </c>
      <c r="H488" s="1">
        <v>31.72</v>
      </c>
      <c r="I488" s="1">
        <v>17.07</v>
      </c>
      <c r="J488" s="1">
        <v>0</v>
      </c>
      <c r="K488" s="1">
        <f t="shared" si="7"/>
        <v>48.79</v>
      </c>
      <c r="L488" s="1" t="str">
        <f>_xlfn.XLOOKUP(A488,satellite_programs!A:A,satellite_programs!N:N)</f>
        <v>Operations</v>
      </c>
    </row>
    <row r="489" spans="1:12" x14ac:dyDescent="0.5">
      <c r="A489" s="1" t="s">
        <v>47</v>
      </c>
      <c r="B489" s="1" t="s">
        <v>43</v>
      </c>
      <c r="C489" s="1" t="s">
        <v>44</v>
      </c>
      <c r="D489" s="1">
        <v>2018</v>
      </c>
      <c r="E489" s="1" t="s">
        <v>28</v>
      </c>
      <c r="F489" s="1">
        <v>0</v>
      </c>
      <c r="G489" s="1">
        <v>0</v>
      </c>
      <c r="H489" s="1">
        <v>31.72</v>
      </c>
      <c r="I489" s="1">
        <v>17.510000000000002</v>
      </c>
      <c r="J489" s="1">
        <v>0</v>
      </c>
      <c r="K489" s="1">
        <f t="shared" si="7"/>
        <v>49.230000000000004</v>
      </c>
      <c r="L489" s="1" t="str">
        <f>_xlfn.XLOOKUP(A489,satellite_programs!A:A,satellite_programs!N:N)</f>
        <v>Operations</v>
      </c>
    </row>
    <row r="490" spans="1:12" x14ac:dyDescent="0.5">
      <c r="A490" s="1" t="s">
        <v>47</v>
      </c>
      <c r="B490" s="1" t="s">
        <v>43</v>
      </c>
      <c r="C490" s="1" t="s">
        <v>44</v>
      </c>
      <c r="D490" s="1">
        <v>2019</v>
      </c>
      <c r="E490" s="1" t="s">
        <v>28</v>
      </c>
      <c r="F490" s="1">
        <v>0</v>
      </c>
      <c r="G490" s="1">
        <v>0</v>
      </c>
      <c r="H490" s="1">
        <v>31.72</v>
      </c>
      <c r="I490" s="1">
        <v>17.96</v>
      </c>
      <c r="J490" s="1">
        <v>0</v>
      </c>
      <c r="K490" s="1">
        <f t="shared" si="7"/>
        <v>49.68</v>
      </c>
      <c r="L490" s="1" t="str">
        <f>_xlfn.XLOOKUP(A490,satellite_programs!A:A,satellite_programs!N:N)</f>
        <v>Operations</v>
      </c>
    </row>
    <row r="491" spans="1:12" x14ac:dyDescent="0.5">
      <c r="A491" s="1" t="s">
        <v>47</v>
      </c>
      <c r="B491" s="1" t="s">
        <v>43</v>
      </c>
      <c r="C491" s="1" t="s">
        <v>44</v>
      </c>
      <c r="D491" s="1">
        <v>2020</v>
      </c>
      <c r="E491" s="1" t="s">
        <v>28</v>
      </c>
      <c r="F491" s="1">
        <v>0</v>
      </c>
      <c r="G491" s="1">
        <v>0</v>
      </c>
      <c r="H491" s="1">
        <v>31.72</v>
      </c>
      <c r="I491" s="1">
        <v>18.399999999999999</v>
      </c>
      <c r="J491" s="1">
        <v>0</v>
      </c>
      <c r="K491" s="1">
        <f t="shared" si="7"/>
        <v>50.12</v>
      </c>
      <c r="L491" s="1" t="str">
        <f>_xlfn.XLOOKUP(A491,satellite_programs!A:A,satellite_programs!N:N)</f>
        <v>Operations</v>
      </c>
    </row>
    <row r="492" spans="1:12" x14ac:dyDescent="0.5">
      <c r="A492" s="1" t="s">
        <v>47</v>
      </c>
      <c r="B492" s="1" t="s">
        <v>43</v>
      </c>
      <c r="C492" s="1" t="s">
        <v>44</v>
      </c>
      <c r="D492" s="1">
        <v>2021</v>
      </c>
      <c r="E492" s="1" t="s">
        <v>28</v>
      </c>
      <c r="F492" s="1">
        <v>0</v>
      </c>
      <c r="G492" s="1">
        <v>0</v>
      </c>
      <c r="H492" s="1">
        <v>31.72</v>
      </c>
      <c r="I492" s="1">
        <v>18.850000000000001</v>
      </c>
      <c r="J492" s="1">
        <v>0</v>
      </c>
      <c r="K492" s="1">
        <f t="shared" si="7"/>
        <v>50.57</v>
      </c>
      <c r="L492" s="1" t="str">
        <f>_xlfn.XLOOKUP(A492,satellite_programs!A:A,satellite_programs!N:N)</f>
        <v>Operations</v>
      </c>
    </row>
    <row r="493" spans="1:12" x14ac:dyDescent="0.5">
      <c r="A493" s="1" t="s">
        <v>47</v>
      </c>
      <c r="B493" s="1" t="s">
        <v>43</v>
      </c>
      <c r="C493" s="1" t="s">
        <v>44</v>
      </c>
      <c r="D493" s="1">
        <v>2022</v>
      </c>
      <c r="E493" s="1" t="s">
        <v>28</v>
      </c>
      <c r="F493" s="1">
        <v>0</v>
      </c>
      <c r="G493" s="1">
        <v>0</v>
      </c>
      <c r="H493" s="1">
        <v>31.72</v>
      </c>
      <c r="I493" s="1">
        <v>19.29</v>
      </c>
      <c r="J493" s="1">
        <v>0</v>
      </c>
      <c r="K493" s="1">
        <f t="shared" si="7"/>
        <v>51.01</v>
      </c>
      <c r="L493" s="1" t="str">
        <f>_xlfn.XLOOKUP(A493,satellite_programs!A:A,satellite_programs!N:N)</f>
        <v>Operations</v>
      </c>
    </row>
    <row r="494" spans="1:12" x14ac:dyDescent="0.5">
      <c r="A494" s="1" t="s">
        <v>47</v>
      </c>
      <c r="B494" s="1" t="s">
        <v>43</v>
      </c>
      <c r="C494" s="1" t="s">
        <v>44</v>
      </c>
      <c r="D494" s="1">
        <v>2023</v>
      </c>
      <c r="E494" s="1" t="s">
        <v>28</v>
      </c>
      <c r="F494" s="1">
        <v>0</v>
      </c>
      <c r="G494" s="1">
        <v>0</v>
      </c>
      <c r="H494" s="1">
        <v>31.72</v>
      </c>
      <c r="I494" s="1">
        <v>19.739999999999998</v>
      </c>
      <c r="J494" s="1">
        <v>0</v>
      </c>
      <c r="K494" s="1">
        <f t="shared" si="7"/>
        <v>51.459999999999994</v>
      </c>
      <c r="L494" s="1" t="str">
        <f>_xlfn.XLOOKUP(A494,satellite_programs!A:A,satellite_programs!N:N)</f>
        <v>Operations</v>
      </c>
    </row>
    <row r="495" spans="1:12" x14ac:dyDescent="0.5">
      <c r="A495" s="1" t="s">
        <v>47</v>
      </c>
      <c r="B495" s="1" t="s">
        <v>43</v>
      </c>
      <c r="C495" s="1" t="s">
        <v>44</v>
      </c>
      <c r="D495" s="1">
        <v>2024</v>
      </c>
      <c r="E495" s="1" t="s">
        <v>28</v>
      </c>
      <c r="F495" s="1">
        <v>0</v>
      </c>
      <c r="G495" s="1">
        <v>0</v>
      </c>
      <c r="H495" s="1">
        <v>31.72</v>
      </c>
      <c r="I495" s="1">
        <v>20.18</v>
      </c>
      <c r="J495" s="1">
        <v>0</v>
      </c>
      <c r="K495" s="1">
        <f t="shared" si="7"/>
        <v>51.9</v>
      </c>
      <c r="L495" s="1" t="str">
        <f>_xlfn.XLOOKUP(A495,satellite_programs!A:A,satellite_programs!N:N)</f>
        <v>Operations</v>
      </c>
    </row>
    <row r="496" spans="1:12" x14ac:dyDescent="0.5">
      <c r="A496" s="1" t="s">
        <v>47</v>
      </c>
      <c r="B496" s="1" t="s">
        <v>43</v>
      </c>
      <c r="C496" s="1" t="s">
        <v>44</v>
      </c>
      <c r="D496" s="1">
        <v>2025</v>
      </c>
      <c r="E496" s="1" t="s">
        <v>28</v>
      </c>
      <c r="F496" s="1">
        <v>0</v>
      </c>
      <c r="G496" s="1">
        <v>0</v>
      </c>
      <c r="H496" s="1">
        <v>31.72</v>
      </c>
      <c r="I496" s="1">
        <v>20.63</v>
      </c>
      <c r="J496" s="1">
        <v>0</v>
      </c>
      <c r="K496" s="1">
        <f t="shared" si="7"/>
        <v>52.349999999999994</v>
      </c>
      <c r="L496" s="1" t="str">
        <f>_xlfn.XLOOKUP(A496,satellite_programs!A:A,satellite_programs!N:N)</f>
        <v>Operations</v>
      </c>
    </row>
    <row r="497" spans="1:12" x14ac:dyDescent="0.5">
      <c r="A497" s="1" t="s">
        <v>47</v>
      </c>
      <c r="B497" s="1" t="s">
        <v>43</v>
      </c>
      <c r="C497" s="1" t="s">
        <v>44</v>
      </c>
      <c r="D497" s="1">
        <v>2026</v>
      </c>
      <c r="E497" s="1" t="s">
        <v>28</v>
      </c>
      <c r="F497" s="1">
        <v>0</v>
      </c>
      <c r="G497" s="1">
        <v>0</v>
      </c>
      <c r="H497" s="1">
        <v>31.72</v>
      </c>
      <c r="I497" s="1">
        <v>21.07</v>
      </c>
      <c r="J497" s="1">
        <v>0</v>
      </c>
      <c r="K497" s="1">
        <f t="shared" si="7"/>
        <v>52.79</v>
      </c>
      <c r="L497" s="1" t="str">
        <f>_xlfn.XLOOKUP(A497,satellite_programs!A:A,satellite_programs!N:N)</f>
        <v>Operations</v>
      </c>
    </row>
    <row r="498" spans="1:12" x14ac:dyDescent="0.5">
      <c r="A498" s="1" t="s">
        <v>47</v>
      </c>
      <c r="B498" s="1" t="s">
        <v>43</v>
      </c>
      <c r="C498" s="1" t="s">
        <v>44</v>
      </c>
      <c r="D498" s="1">
        <v>2028</v>
      </c>
      <c r="E498" s="1" t="s">
        <v>103</v>
      </c>
      <c r="F498" s="1">
        <v>0</v>
      </c>
      <c r="G498" s="1">
        <v>0</v>
      </c>
      <c r="H498" s="1">
        <v>0</v>
      </c>
      <c r="I498" s="1">
        <v>0</v>
      </c>
      <c r="J498" s="1">
        <v>14.16</v>
      </c>
      <c r="K498" s="1">
        <f t="shared" si="7"/>
        <v>14.16</v>
      </c>
      <c r="L498" s="1" t="str">
        <f>_xlfn.XLOOKUP(A498,satellite_programs!A:A,satellite_programs!N:N)</f>
        <v>Operations</v>
      </c>
    </row>
    <row r="499" spans="1:12" x14ac:dyDescent="0.5">
      <c r="A499" s="1" t="s">
        <v>48</v>
      </c>
      <c r="B499" s="1" t="s">
        <v>43</v>
      </c>
      <c r="C499" s="1" t="s">
        <v>44</v>
      </c>
      <c r="D499" s="1">
        <v>2009</v>
      </c>
      <c r="E499" s="1" t="s">
        <v>104</v>
      </c>
      <c r="F499" s="1">
        <v>8.91</v>
      </c>
      <c r="G499" s="1">
        <v>0</v>
      </c>
      <c r="H499" s="1">
        <v>0</v>
      </c>
      <c r="I499" s="1">
        <v>0</v>
      </c>
      <c r="J499" s="1">
        <v>0</v>
      </c>
      <c r="K499" s="1">
        <f t="shared" si="7"/>
        <v>8.91</v>
      </c>
      <c r="L499" s="1" t="str">
        <f>_xlfn.XLOOKUP(A499,satellite_programs!A:A,satellite_programs!N:N)</f>
        <v>Operations</v>
      </c>
    </row>
    <row r="500" spans="1:12" x14ac:dyDescent="0.5">
      <c r="A500" s="1" t="s">
        <v>48</v>
      </c>
      <c r="B500" s="1" t="s">
        <v>43</v>
      </c>
      <c r="C500" s="1" t="s">
        <v>44</v>
      </c>
      <c r="D500" s="1">
        <v>2010</v>
      </c>
      <c r="E500" s="1" t="s">
        <v>104</v>
      </c>
      <c r="F500" s="1">
        <v>17.82</v>
      </c>
      <c r="G500" s="1">
        <v>0</v>
      </c>
      <c r="H500" s="1">
        <v>0</v>
      </c>
      <c r="I500" s="1">
        <v>0</v>
      </c>
      <c r="J500" s="1">
        <v>0</v>
      </c>
      <c r="K500" s="1">
        <f t="shared" si="7"/>
        <v>17.82</v>
      </c>
      <c r="L500" s="1" t="str">
        <f>_xlfn.XLOOKUP(A500,satellite_programs!A:A,satellite_programs!N:N)</f>
        <v>Operations</v>
      </c>
    </row>
    <row r="501" spans="1:12" x14ac:dyDescent="0.5">
      <c r="A501" s="1" t="s">
        <v>48</v>
      </c>
      <c r="B501" s="1" t="s">
        <v>43</v>
      </c>
      <c r="C501" s="1" t="s">
        <v>44</v>
      </c>
      <c r="D501" s="1">
        <v>2011</v>
      </c>
      <c r="E501" s="1" t="s">
        <v>104</v>
      </c>
      <c r="F501" s="1">
        <v>32.08</v>
      </c>
      <c r="G501" s="1">
        <v>0</v>
      </c>
      <c r="H501" s="1">
        <v>0</v>
      </c>
      <c r="I501" s="1">
        <v>0</v>
      </c>
      <c r="J501" s="1">
        <v>0</v>
      </c>
      <c r="K501" s="1">
        <f t="shared" si="7"/>
        <v>32.08</v>
      </c>
      <c r="L501" s="1" t="str">
        <f>_xlfn.XLOOKUP(A501,satellite_programs!A:A,satellite_programs!N:N)</f>
        <v>Operations</v>
      </c>
    </row>
    <row r="502" spans="1:12" x14ac:dyDescent="0.5">
      <c r="A502" s="1" t="s">
        <v>48</v>
      </c>
      <c r="B502" s="1" t="s">
        <v>43</v>
      </c>
      <c r="C502" s="1" t="s">
        <v>44</v>
      </c>
      <c r="D502" s="1">
        <v>2012</v>
      </c>
      <c r="E502" s="1" t="s">
        <v>104</v>
      </c>
      <c r="F502" s="1">
        <v>39.21</v>
      </c>
      <c r="G502" s="1">
        <v>0</v>
      </c>
      <c r="H502" s="1">
        <v>0</v>
      </c>
      <c r="I502" s="1">
        <v>0</v>
      </c>
      <c r="J502" s="1">
        <v>0</v>
      </c>
      <c r="K502" s="1">
        <f t="shared" si="7"/>
        <v>39.21</v>
      </c>
      <c r="L502" s="1" t="str">
        <f>_xlfn.XLOOKUP(A502,satellite_programs!A:A,satellite_programs!N:N)</f>
        <v>Operations</v>
      </c>
    </row>
    <row r="503" spans="1:12" x14ac:dyDescent="0.5">
      <c r="A503" s="1" t="s">
        <v>48</v>
      </c>
      <c r="B503" s="1" t="s">
        <v>43</v>
      </c>
      <c r="C503" s="1" t="s">
        <v>44</v>
      </c>
      <c r="D503" s="1">
        <v>2013</v>
      </c>
      <c r="E503" s="1" t="s">
        <v>104</v>
      </c>
      <c r="F503" s="1">
        <v>35.65</v>
      </c>
      <c r="G503" s="1">
        <v>34.51</v>
      </c>
      <c r="H503" s="1">
        <v>0</v>
      </c>
      <c r="I503" s="1">
        <v>0</v>
      </c>
      <c r="J503" s="1">
        <v>0</v>
      </c>
      <c r="K503" s="1">
        <f t="shared" si="7"/>
        <v>70.16</v>
      </c>
      <c r="L503" s="1" t="str">
        <f>_xlfn.XLOOKUP(A503,satellite_programs!A:A,satellite_programs!N:N)</f>
        <v>Operations</v>
      </c>
    </row>
    <row r="504" spans="1:12" x14ac:dyDescent="0.5">
      <c r="A504" s="1" t="s">
        <v>48</v>
      </c>
      <c r="B504" s="1" t="s">
        <v>43</v>
      </c>
      <c r="C504" s="1" t="s">
        <v>44</v>
      </c>
      <c r="D504" s="1">
        <v>2014</v>
      </c>
      <c r="E504" s="1" t="s">
        <v>104</v>
      </c>
      <c r="F504" s="1">
        <v>23.17</v>
      </c>
      <c r="G504" s="1">
        <v>28.23</v>
      </c>
      <c r="H504" s="1">
        <v>0</v>
      </c>
      <c r="I504" s="1">
        <v>0</v>
      </c>
      <c r="J504" s="1">
        <v>0</v>
      </c>
      <c r="K504" s="1">
        <f t="shared" si="7"/>
        <v>51.400000000000006</v>
      </c>
      <c r="L504" s="1" t="str">
        <f>_xlfn.XLOOKUP(A504,satellite_programs!A:A,satellite_programs!N:N)</f>
        <v>Operations</v>
      </c>
    </row>
    <row r="505" spans="1:12" x14ac:dyDescent="0.5">
      <c r="A505" s="1" t="s">
        <v>48</v>
      </c>
      <c r="B505" s="1" t="s">
        <v>43</v>
      </c>
      <c r="C505" s="1" t="s">
        <v>44</v>
      </c>
      <c r="D505" s="1">
        <v>2015</v>
      </c>
      <c r="E505" s="1" t="s">
        <v>28</v>
      </c>
      <c r="F505" s="1">
        <v>0</v>
      </c>
      <c r="G505" s="1">
        <v>0</v>
      </c>
      <c r="H505" s="1">
        <v>32</v>
      </c>
      <c r="I505" s="1">
        <v>15.08</v>
      </c>
      <c r="J505" s="1">
        <v>0</v>
      </c>
      <c r="K505" s="1">
        <f t="shared" si="7"/>
        <v>47.08</v>
      </c>
      <c r="L505" s="1" t="str">
        <f>_xlfn.XLOOKUP(A505,satellite_programs!A:A,satellite_programs!N:N)</f>
        <v>Operations</v>
      </c>
    </row>
    <row r="506" spans="1:12" x14ac:dyDescent="0.5">
      <c r="A506" s="1" t="s">
        <v>48</v>
      </c>
      <c r="B506" s="1" t="s">
        <v>43</v>
      </c>
      <c r="C506" s="1" t="s">
        <v>44</v>
      </c>
      <c r="D506" s="1">
        <v>2016</v>
      </c>
      <c r="E506" s="1" t="s">
        <v>28</v>
      </c>
      <c r="F506" s="1">
        <v>0</v>
      </c>
      <c r="G506" s="1">
        <v>0</v>
      </c>
      <c r="H506" s="1">
        <v>32</v>
      </c>
      <c r="I506" s="1">
        <v>15.53</v>
      </c>
      <c r="J506" s="1">
        <v>0</v>
      </c>
      <c r="K506" s="1">
        <f t="shared" si="7"/>
        <v>47.53</v>
      </c>
      <c r="L506" s="1" t="str">
        <f>_xlfn.XLOOKUP(A506,satellite_programs!A:A,satellite_programs!N:N)</f>
        <v>Operations</v>
      </c>
    </row>
    <row r="507" spans="1:12" x14ac:dyDescent="0.5">
      <c r="A507" s="1" t="s">
        <v>48</v>
      </c>
      <c r="B507" s="1" t="s">
        <v>43</v>
      </c>
      <c r="C507" s="1" t="s">
        <v>44</v>
      </c>
      <c r="D507" s="1">
        <v>2017</v>
      </c>
      <c r="E507" s="1" t="s">
        <v>28</v>
      </c>
      <c r="F507" s="1">
        <v>0</v>
      </c>
      <c r="G507" s="1">
        <v>0</v>
      </c>
      <c r="H507" s="1">
        <v>32</v>
      </c>
      <c r="I507" s="1">
        <v>15.98</v>
      </c>
      <c r="J507" s="1">
        <v>0</v>
      </c>
      <c r="K507" s="1">
        <f t="shared" si="7"/>
        <v>47.980000000000004</v>
      </c>
      <c r="L507" s="1" t="str">
        <f>_xlfn.XLOOKUP(A507,satellite_programs!A:A,satellite_programs!N:N)</f>
        <v>Operations</v>
      </c>
    </row>
    <row r="508" spans="1:12" x14ac:dyDescent="0.5">
      <c r="A508" s="1" t="s">
        <v>48</v>
      </c>
      <c r="B508" s="1" t="s">
        <v>43</v>
      </c>
      <c r="C508" s="1" t="s">
        <v>44</v>
      </c>
      <c r="D508" s="1">
        <v>2018</v>
      </c>
      <c r="E508" s="1" t="s">
        <v>28</v>
      </c>
      <c r="F508" s="1">
        <v>0</v>
      </c>
      <c r="G508" s="1">
        <v>0</v>
      </c>
      <c r="H508" s="1">
        <v>32</v>
      </c>
      <c r="I508" s="1">
        <v>16.440000000000001</v>
      </c>
      <c r="J508" s="1">
        <v>0</v>
      </c>
      <c r="K508" s="1">
        <f t="shared" si="7"/>
        <v>48.44</v>
      </c>
      <c r="L508" s="1" t="str">
        <f>_xlfn.XLOOKUP(A508,satellite_programs!A:A,satellite_programs!N:N)</f>
        <v>Operations</v>
      </c>
    </row>
    <row r="509" spans="1:12" x14ac:dyDescent="0.5">
      <c r="A509" s="1" t="s">
        <v>48</v>
      </c>
      <c r="B509" s="1" t="s">
        <v>43</v>
      </c>
      <c r="C509" s="1" t="s">
        <v>44</v>
      </c>
      <c r="D509" s="1">
        <v>2019</v>
      </c>
      <c r="E509" s="1" t="s">
        <v>28</v>
      </c>
      <c r="F509" s="1">
        <v>0</v>
      </c>
      <c r="G509" s="1">
        <v>0</v>
      </c>
      <c r="H509" s="1">
        <v>32</v>
      </c>
      <c r="I509" s="1">
        <v>16.89</v>
      </c>
      <c r="J509" s="1">
        <v>0</v>
      </c>
      <c r="K509" s="1">
        <f t="shared" si="7"/>
        <v>48.89</v>
      </c>
      <c r="L509" s="1" t="str">
        <f>_xlfn.XLOOKUP(A509,satellite_programs!A:A,satellite_programs!N:N)</f>
        <v>Operations</v>
      </c>
    </row>
    <row r="510" spans="1:12" x14ac:dyDescent="0.5">
      <c r="A510" s="1" t="s">
        <v>48</v>
      </c>
      <c r="B510" s="1" t="s">
        <v>43</v>
      </c>
      <c r="C510" s="1" t="s">
        <v>44</v>
      </c>
      <c r="D510" s="1">
        <v>2020</v>
      </c>
      <c r="E510" s="1" t="s">
        <v>28</v>
      </c>
      <c r="F510" s="1">
        <v>0</v>
      </c>
      <c r="G510" s="1">
        <v>0</v>
      </c>
      <c r="H510" s="1">
        <v>32</v>
      </c>
      <c r="I510" s="1">
        <v>17.34</v>
      </c>
      <c r="J510" s="1">
        <v>0</v>
      </c>
      <c r="K510" s="1">
        <f t="shared" si="7"/>
        <v>49.34</v>
      </c>
      <c r="L510" s="1" t="str">
        <f>_xlfn.XLOOKUP(A510,satellite_programs!A:A,satellite_programs!N:N)</f>
        <v>Operations</v>
      </c>
    </row>
    <row r="511" spans="1:12" x14ac:dyDescent="0.5">
      <c r="A511" s="1" t="s">
        <v>48</v>
      </c>
      <c r="B511" s="1" t="s">
        <v>43</v>
      </c>
      <c r="C511" s="1" t="s">
        <v>44</v>
      </c>
      <c r="D511" s="1">
        <v>2021</v>
      </c>
      <c r="E511" s="1" t="s">
        <v>28</v>
      </c>
      <c r="F511" s="1">
        <v>0</v>
      </c>
      <c r="G511" s="1">
        <v>0</v>
      </c>
      <c r="H511" s="1">
        <v>32</v>
      </c>
      <c r="I511" s="1">
        <v>17.79</v>
      </c>
      <c r="J511" s="1">
        <v>0</v>
      </c>
      <c r="K511" s="1">
        <f t="shared" si="7"/>
        <v>49.79</v>
      </c>
      <c r="L511" s="1" t="str">
        <f>_xlfn.XLOOKUP(A511,satellite_programs!A:A,satellite_programs!N:N)</f>
        <v>Operations</v>
      </c>
    </row>
    <row r="512" spans="1:12" x14ac:dyDescent="0.5">
      <c r="A512" s="1" t="s">
        <v>48</v>
      </c>
      <c r="B512" s="1" t="s">
        <v>43</v>
      </c>
      <c r="C512" s="1" t="s">
        <v>44</v>
      </c>
      <c r="D512" s="1">
        <v>2022</v>
      </c>
      <c r="E512" s="1" t="s">
        <v>28</v>
      </c>
      <c r="F512" s="1">
        <v>0</v>
      </c>
      <c r="G512" s="1">
        <v>0</v>
      </c>
      <c r="H512" s="1">
        <v>32</v>
      </c>
      <c r="I512" s="1">
        <v>18.25</v>
      </c>
      <c r="J512" s="1">
        <v>0</v>
      </c>
      <c r="K512" s="1">
        <f t="shared" si="7"/>
        <v>50.25</v>
      </c>
      <c r="L512" s="1" t="str">
        <f>_xlfn.XLOOKUP(A512,satellite_programs!A:A,satellite_programs!N:N)</f>
        <v>Operations</v>
      </c>
    </row>
    <row r="513" spans="1:12" x14ac:dyDescent="0.5">
      <c r="A513" s="1" t="s">
        <v>48</v>
      </c>
      <c r="B513" s="1" t="s">
        <v>43</v>
      </c>
      <c r="C513" s="1" t="s">
        <v>44</v>
      </c>
      <c r="D513" s="1">
        <v>2023</v>
      </c>
      <c r="E513" s="1" t="s">
        <v>28</v>
      </c>
      <c r="F513" s="1">
        <v>0</v>
      </c>
      <c r="G513" s="1">
        <v>0</v>
      </c>
      <c r="H513" s="1">
        <v>32</v>
      </c>
      <c r="I513" s="1">
        <v>18.7</v>
      </c>
      <c r="J513" s="1">
        <v>0</v>
      </c>
      <c r="K513" s="1">
        <f t="shared" si="7"/>
        <v>50.7</v>
      </c>
      <c r="L513" s="1" t="str">
        <f>_xlfn.XLOOKUP(A513,satellite_programs!A:A,satellite_programs!N:N)</f>
        <v>Operations</v>
      </c>
    </row>
    <row r="514" spans="1:12" x14ac:dyDescent="0.5">
      <c r="A514" s="1" t="s">
        <v>48</v>
      </c>
      <c r="B514" s="1" t="s">
        <v>43</v>
      </c>
      <c r="C514" s="1" t="s">
        <v>44</v>
      </c>
      <c r="D514" s="1">
        <v>2024</v>
      </c>
      <c r="E514" s="1" t="s">
        <v>28</v>
      </c>
      <c r="F514" s="1">
        <v>0</v>
      </c>
      <c r="G514" s="1">
        <v>0</v>
      </c>
      <c r="H514" s="1">
        <v>32</v>
      </c>
      <c r="I514" s="1">
        <v>19.149999999999999</v>
      </c>
      <c r="J514" s="1">
        <v>0</v>
      </c>
      <c r="K514" s="1">
        <f t="shared" ref="K514:K577" si="8">SUM(F514:J514)</f>
        <v>51.15</v>
      </c>
      <c r="L514" s="1" t="str">
        <f>_xlfn.XLOOKUP(A514,satellite_programs!A:A,satellite_programs!N:N)</f>
        <v>Operations</v>
      </c>
    </row>
    <row r="515" spans="1:12" x14ac:dyDescent="0.5">
      <c r="A515" s="1" t="s">
        <v>48</v>
      </c>
      <c r="B515" s="1" t="s">
        <v>43</v>
      </c>
      <c r="C515" s="1" t="s">
        <v>44</v>
      </c>
      <c r="D515" s="1">
        <v>2025</v>
      </c>
      <c r="E515" s="1" t="s">
        <v>28</v>
      </c>
      <c r="F515" s="1">
        <v>0</v>
      </c>
      <c r="G515" s="1">
        <v>0</v>
      </c>
      <c r="H515" s="1">
        <v>32</v>
      </c>
      <c r="I515" s="1">
        <v>19.600000000000001</v>
      </c>
      <c r="J515" s="1">
        <v>0</v>
      </c>
      <c r="K515" s="1">
        <f t="shared" si="8"/>
        <v>51.6</v>
      </c>
      <c r="L515" s="1" t="str">
        <f>_xlfn.XLOOKUP(A515,satellite_programs!A:A,satellite_programs!N:N)</f>
        <v>Operations</v>
      </c>
    </row>
    <row r="516" spans="1:12" x14ac:dyDescent="0.5">
      <c r="A516" s="1" t="s">
        <v>48</v>
      </c>
      <c r="B516" s="1" t="s">
        <v>43</v>
      </c>
      <c r="C516" s="1" t="s">
        <v>44</v>
      </c>
      <c r="D516" s="1">
        <v>2026</v>
      </c>
      <c r="E516" s="1" t="s">
        <v>28</v>
      </c>
      <c r="F516" s="1">
        <v>0</v>
      </c>
      <c r="G516" s="1">
        <v>0</v>
      </c>
      <c r="H516" s="1">
        <v>32</v>
      </c>
      <c r="I516" s="1">
        <v>20.059999999999999</v>
      </c>
      <c r="J516" s="1">
        <v>0</v>
      </c>
      <c r="K516" s="1">
        <f t="shared" si="8"/>
        <v>52.06</v>
      </c>
      <c r="L516" s="1" t="str">
        <f>_xlfn.XLOOKUP(A516,satellite_programs!A:A,satellite_programs!N:N)</f>
        <v>Operations</v>
      </c>
    </row>
    <row r="517" spans="1:12" x14ac:dyDescent="0.5">
      <c r="A517" s="1" t="s">
        <v>48</v>
      </c>
      <c r="B517" s="1" t="s">
        <v>43</v>
      </c>
      <c r="C517" s="1" t="s">
        <v>44</v>
      </c>
      <c r="D517" s="1">
        <v>2027</v>
      </c>
      <c r="E517" s="1" t="s">
        <v>28</v>
      </c>
      <c r="F517" s="1">
        <v>0</v>
      </c>
      <c r="G517" s="1">
        <v>0</v>
      </c>
      <c r="H517" s="1">
        <v>32</v>
      </c>
      <c r="I517" s="1">
        <v>20.51</v>
      </c>
      <c r="J517" s="1">
        <v>0</v>
      </c>
      <c r="K517" s="1">
        <f t="shared" si="8"/>
        <v>52.510000000000005</v>
      </c>
      <c r="L517" s="1" t="str">
        <f>_xlfn.XLOOKUP(A517,satellite_programs!A:A,satellite_programs!N:N)</f>
        <v>Operations</v>
      </c>
    </row>
    <row r="518" spans="1:12" x14ac:dyDescent="0.5">
      <c r="A518" s="1" t="s">
        <v>48</v>
      </c>
      <c r="B518" s="1" t="s">
        <v>43</v>
      </c>
      <c r="C518" s="1" t="s">
        <v>44</v>
      </c>
      <c r="D518" s="1">
        <v>2028</v>
      </c>
      <c r="E518" s="1" t="s">
        <v>28</v>
      </c>
      <c r="F518" s="1">
        <v>0</v>
      </c>
      <c r="G518" s="1">
        <v>0</v>
      </c>
      <c r="H518" s="1">
        <v>32</v>
      </c>
      <c r="I518" s="1">
        <v>20.96</v>
      </c>
      <c r="J518" s="1">
        <v>0</v>
      </c>
      <c r="K518" s="1">
        <f t="shared" si="8"/>
        <v>52.96</v>
      </c>
      <c r="L518" s="1" t="str">
        <f>_xlfn.XLOOKUP(A518,satellite_programs!A:A,satellite_programs!N:N)</f>
        <v>Operations</v>
      </c>
    </row>
    <row r="519" spans="1:12" x14ac:dyDescent="0.5">
      <c r="A519" s="1" t="s">
        <v>48</v>
      </c>
      <c r="B519" s="1" t="s">
        <v>43</v>
      </c>
      <c r="C519" s="1" t="s">
        <v>44</v>
      </c>
      <c r="D519" s="1">
        <v>2029</v>
      </c>
      <c r="E519" s="1" t="s">
        <v>28</v>
      </c>
      <c r="F519" s="1">
        <v>0</v>
      </c>
      <c r="G519" s="1">
        <v>0</v>
      </c>
      <c r="H519" s="1">
        <v>32</v>
      </c>
      <c r="I519" s="1">
        <v>21.41</v>
      </c>
      <c r="J519" s="1">
        <v>0</v>
      </c>
      <c r="K519" s="1">
        <f t="shared" si="8"/>
        <v>53.41</v>
      </c>
      <c r="L519" s="1" t="str">
        <f>_xlfn.XLOOKUP(A519,satellite_programs!A:A,satellite_programs!N:N)</f>
        <v>Operations</v>
      </c>
    </row>
    <row r="520" spans="1:12" x14ac:dyDescent="0.5">
      <c r="A520" s="1" t="s">
        <v>48</v>
      </c>
      <c r="B520" s="1" t="s">
        <v>43</v>
      </c>
      <c r="C520" s="1" t="s">
        <v>44</v>
      </c>
      <c r="D520" s="1">
        <v>2031</v>
      </c>
      <c r="E520" s="1" t="s">
        <v>103</v>
      </c>
      <c r="F520" s="1">
        <v>0</v>
      </c>
      <c r="G520" s="1">
        <v>0</v>
      </c>
      <c r="H520" s="1">
        <v>0</v>
      </c>
      <c r="I520" s="1">
        <v>0</v>
      </c>
      <c r="J520" s="1">
        <v>14.3</v>
      </c>
      <c r="K520" s="1">
        <f t="shared" si="8"/>
        <v>14.3</v>
      </c>
      <c r="L520" s="1" t="str">
        <f>_xlfn.XLOOKUP(A520,satellite_programs!A:A,satellite_programs!N:N)</f>
        <v>Operations</v>
      </c>
    </row>
    <row r="521" spans="1:12" x14ac:dyDescent="0.5">
      <c r="A521" s="1" t="s">
        <v>55</v>
      </c>
      <c r="B521" s="1" t="s">
        <v>56</v>
      </c>
      <c r="C521" s="1" t="s">
        <v>33</v>
      </c>
      <c r="D521" s="1">
        <v>1996</v>
      </c>
      <c r="E521" s="1" t="s">
        <v>104</v>
      </c>
      <c r="F521" s="1">
        <v>4.62</v>
      </c>
      <c r="G521" s="1">
        <v>0</v>
      </c>
      <c r="H521" s="1">
        <v>0</v>
      </c>
      <c r="I521" s="1">
        <v>0</v>
      </c>
      <c r="J521" s="1">
        <v>0</v>
      </c>
      <c r="K521" s="1">
        <f t="shared" si="8"/>
        <v>4.62</v>
      </c>
      <c r="L521" s="1" t="str">
        <f>_xlfn.XLOOKUP(A521,satellite_programs!A:A,satellite_programs!N:N)</f>
        <v>Retired</v>
      </c>
    </row>
    <row r="522" spans="1:12" x14ac:dyDescent="0.5">
      <c r="A522" s="1" t="s">
        <v>55</v>
      </c>
      <c r="B522" s="1" t="s">
        <v>56</v>
      </c>
      <c r="C522" s="1" t="s">
        <v>33</v>
      </c>
      <c r="D522" s="1">
        <v>1997</v>
      </c>
      <c r="E522" s="1" t="s">
        <v>104</v>
      </c>
      <c r="F522" s="1">
        <v>9.24</v>
      </c>
      <c r="G522" s="1">
        <v>0</v>
      </c>
      <c r="H522" s="1">
        <v>0</v>
      </c>
      <c r="I522" s="1">
        <v>0</v>
      </c>
      <c r="J522" s="1">
        <v>0</v>
      </c>
      <c r="K522" s="1">
        <f t="shared" si="8"/>
        <v>9.24</v>
      </c>
      <c r="L522" s="1" t="str">
        <f>_xlfn.XLOOKUP(A522,satellite_programs!A:A,satellite_programs!N:N)</f>
        <v>Retired</v>
      </c>
    </row>
    <row r="523" spans="1:12" x14ac:dyDescent="0.5">
      <c r="A523" s="1" t="s">
        <v>55</v>
      </c>
      <c r="B523" s="1" t="s">
        <v>56</v>
      </c>
      <c r="C523" s="1" t="s">
        <v>33</v>
      </c>
      <c r="D523" s="1">
        <v>1998</v>
      </c>
      <c r="E523" s="1" t="s">
        <v>104</v>
      </c>
      <c r="F523" s="1">
        <v>16.63</v>
      </c>
      <c r="G523" s="1">
        <v>0</v>
      </c>
      <c r="H523" s="1">
        <v>0</v>
      </c>
      <c r="I523" s="1">
        <v>0</v>
      </c>
      <c r="J523" s="1">
        <v>0</v>
      </c>
      <c r="K523" s="1">
        <f t="shared" si="8"/>
        <v>16.63</v>
      </c>
      <c r="L523" s="1" t="str">
        <f>_xlfn.XLOOKUP(A523,satellite_programs!A:A,satellite_programs!N:N)</f>
        <v>Retired</v>
      </c>
    </row>
    <row r="524" spans="1:12" x14ac:dyDescent="0.5">
      <c r="A524" s="1" t="s">
        <v>55</v>
      </c>
      <c r="B524" s="1" t="s">
        <v>56</v>
      </c>
      <c r="C524" s="1" t="s">
        <v>33</v>
      </c>
      <c r="D524" s="1">
        <v>1999</v>
      </c>
      <c r="E524" s="1" t="s">
        <v>104</v>
      </c>
      <c r="F524" s="1">
        <v>20.32</v>
      </c>
      <c r="G524" s="1">
        <v>0</v>
      </c>
      <c r="H524" s="1">
        <v>0</v>
      </c>
      <c r="I524" s="1">
        <v>0</v>
      </c>
      <c r="J524" s="1">
        <v>0</v>
      </c>
      <c r="K524" s="1">
        <f t="shared" si="8"/>
        <v>20.32</v>
      </c>
      <c r="L524" s="1" t="str">
        <f>_xlfn.XLOOKUP(A524,satellite_programs!A:A,satellite_programs!N:N)</f>
        <v>Retired</v>
      </c>
    </row>
    <row r="525" spans="1:12" x14ac:dyDescent="0.5">
      <c r="A525" s="1" t="s">
        <v>55</v>
      </c>
      <c r="B525" s="1" t="s">
        <v>56</v>
      </c>
      <c r="C525" s="1" t="s">
        <v>33</v>
      </c>
      <c r="D525" s="1">
        <v>2000</v>
      </c>
      <c r="E525" s="1" t="s">
        <v>104</v>
      </c>
      <c r="F525" s="1">
        <v>18.48</v>
      </c>
      <c r="G525" s="1">
        <v>17.89</v>
      </c>
      <c r="H525" s="1">
        <v>0</v>
      </c>
      <c r="I525" s="1">
        <v>0</v>
      </c>
      <c r="J525" s="1">
        <v>0</v>
      </c>
      <c r="K525" s="1">
        <f t="shared" si="8"/>
        <v>36.370000000000005</v>
      </c>
      <c r="L525" s="1" t="str">
        <f>_xlfn.XLOOKUP(A525,satellite_programs!A:A,satellite_programs!N:N)</f>
        <v>Retired</v>
      </c>
    </row>
    <row r="526" spans="1:12" x14ac:dyDescent="0.5">
      <c r="A526" s="1" t="s">
        <v>55</v>
      </c>
      <c r="B526" s="1" t="s">
        <v>56</v>
      </c>
      <c r="C526" s="1" t="s">
        <v>33</v>
      </c>
      <c r="D526" s="1">
        <v>2001</v>
      </c>
      <c r="E526" s="1" t="s">
        <v>104</v>
      </c>
      <c r="F526" s="1">
        <v>12.01</v>
      </c>
      <c r="G526" s="1">
        <v>14.63</v>
      </c>
      <c r="H526" s="1">
        <v>0</v>
      </c>
      <c r="I526" s="1">
        <v>0</v>
      </c>
      <c r="J526" s="1">
        <v>0</v>
      </c>
      <c r="K526" s="1">
        <f t="shared" si="8"/>
        <v>26.64</v>
      </c>
      <c r="L526" s="1" t="str">
        <f>_xlfn.XLOOKUP(A526,satellite_programs!A:A,satellite_programs!N:N)</f>
        <v>Retired</v>
      </c>
    </row>
    <row r="527" spans="1:12" x14ac:dyDescent="0.5">
      <c r="A527" s="1" t="s">
        <v>55</v>
      </c>
      <c r="B527" s="1" t="s">
        <v>56</v>
      </c>
      <c r="C527" s="1" t="s">
        <v>33</v>
      </c>
      <c r="D527" s="1">
        <v>2002</v>
      </c>
      <c r="E527" s="1" t="s">
        <v>28</v>
      </c>
      <c r="F527" s="1">
        <v>0</v>
      </c>
      <c r="G527" s="1">
        <v>0</v>
      </c>
      <c r="H527" s="1">
        <v>26.88</v>
      </c>
      <c r="I527" s="1">
        <v>17.52</v>
      </c>
      <c r="J527" s="1">
        <v>0</v>
      </c>
      <c r="K527" s="1">
        <f t="shared" si="8"/>
        <v>44.4</v>
      </c>
      <c r="L527" s="1" t="str">
        <f>_xlfn.XLOOKUP(A527,satellite_programs!A:A,satellite_programs!N:N)</f>
        <v>Retired</v>
      </c>
    </row>
    <row r="528" spans="1:12" x14ac:dyDescent="0.5">
      <c r="A528" s="1" t="s">
        <v>55</v>
      </c>
      <c r="B528" s="1" t="s">
        <v>56</v>
      </c>
      <c r="C528" s="1" t="s">
        <v>33</v>
      </c>
      <c r="D528" s="1">
        <v>2003</v>
      </c>
      <c r="E528" s="1" t="s">
        <v>28</v>
      </c>
      <c r="F528" s="1">
        <v>0</v>
      </c>
      <c r="G528" s="1">
        <v>0</v>
      </c>
      <c r="H528" s="1">
        <v>26.88</v>
      </c>
      <c r="I528" s="1">
        <v>18.05</v>
      </c>
      <c r="J528" s="1">
        <v>0</v>
      </c>
      <c r="K528" s="1">
        <f t="shared" si="8"/>
        <v>44.93</v>
      </c>
      <c r="L528" s="1" t="str">
        <f>_xlfn.XLOOKUP(A528,satellite_programs!A:A,satellite_programs!N:N)</f>
        <v>Retired</v>
      </c>
    </row>
    <row r="529" spans="1:12" x14ac:dyDescent="0.5">
      <c r="A529" s="1" t="s">
        <v>55</v>
      </c>
      <c r="B529" s="1" t="s">
        <v>56</v>
      </c>
      <c r="C529" s="1" t="s">
        <v>33</v>
      </c>
      <c r="D529" s="1">
        <v>2004</v>
      </c>
      <c r="E529" s="1" t="s">
        <v>28</v>
      </c>
      <c r="F529" s="1">
        <v>0</v>
      </c>
      <c r="G529" s="1">
        <v>0</v>
      </c>
      <c r="H529" s="1">
        <v>26.88</v>
      </c>
      <c r="I529" s="1">
        <v>18.57</v>
      </c>
      <c r="J529" s="1">
        <v>0</v>
      </c>
      <c r="K529" s="1">
        <f t="shared" si="8"/>
        <v>45.45</v>
      </c>
      <c r="L529" s="1" t="str">
        <f>_xlfn.XLOOKUP(A529,satellite_programs!A:A,satellite_programs!N:N)</f>
        <v>Retired</v>
      </c>
    </row>
    <row r="530" spans="1:12" x14ac:dyDescent="0.5">
      <c r="A530" s="1" t="s">
        <v>55</v>
      </c>
      <c r="B530" s="1" t="s">
        <v>56</v>
      </c>
      <c r="C530" s="1" t="s">
        <v>33</v>
      </c>
      <c r="D530" s="1">
        <v>2005</v>
      </c>
      <c r="E530" s="1" t="s">
        <v>28</v>
      </c>
      <c r="F530" s="1">
        <v>0</v>
      </c>
      <c r="G530" s="1">
        <v>0</v>
      </c>
      <c r="H530" s="1">
        <v>26.88</v>
      </c>
      <c r="I530" s="1">
        <v>19.100000000000001</v>
      </c>
      <c r="J530" s="1">
        <v>0</v>
      </c>
      <c r="K530" s="1">
        <f t="shared" si="8"/>
        <v>45.980000000000004</v>
      </c>
      <c r="L530" s="1" t="str">
        <f>_xlfn.XLOOKUP(A530,satellite_programs!A:A,satellite_programs!N:N)</f>
        <v>Retired</v>
      </c>
    </row>
    <row r="531" spans="1:12" x14ac:dyDescent="0.5">
      <c r="A531" s="1" t="s">
        <v>55</v>
      </c>
      <c r="B531" s="1" t="s">
        <v>56</v>
      </c>
      <c r="C531" s="1" t="s">
        <v>33</v>
      </c>
      <c r="D531" s="1">
        <v>2006</v>
      </c>
      <c r="E531" s="1" t="s">
        <v>28</v>
      </c>
      <c r="F531" s="1">
        <v>0</v>
      </c>
      <c r="G531" s="1">
        <v>0</v>
      </c>
      <c r="H531" s="1">
        <v>26.88</v>
      </c>
      <c r="I531" s="1">
        <v>19.62</v>
      </c>
      <c r="J531" s="1">
        <v>0</v>
      </c>
      <c r="K531" s="1">
        <f t="shared" si="8"/>
        <v>46.5</v>
      </c>
      <c r="L531" s="1" t="str">
        <f>_xlfn.XLOOKUP(A531,satellite_programs!A:A,satellite_programs!N:N)</f>
        <v>Retired</v>
      </c>
    </row>
    <row r="532" spans="1:12" x14ac:dyDescent="0.5">
      <c r="A532" s="1" t="s">
        <v>55</v>
      </c>
      <c r="B532" s="1" t="s">
        <v>56</v>
      </c>
      <c r="C532" s="1" t="s">
        <v>33</v>
      </c>
      <c r="D532" s="1">
        <v>2008</v>
      </c>
      <c r="E532" s="1" t="s">
        <v>103</v>
      </c>
      <c r="F532" s="1">
        <v>0</v>
      </c>
      <c r="G532" s="1">
        <v>0</v>
      </c>
      <c r="H532" s="1">
        <v>0</v>
      </c>
      <c r="I532" s="1">
        <v>0</v>
      </c>
      <c r="J532" s="1">
        <v>8.84</v>
      </c>
      <c r="K532" s="1">
        <f t="shared" si="8"/>
        <v>8.84</v>
      </c>
      <c r="L532" s="1" t="str">
        <f>_xlfn.XLOOKUP(A532,satellite_programs!A:A,satellite_programs!N:N)</f>
        <v>Retired</v>
      </c>
    </row>
    <row r="533" spans="1:12" x14ac:dyDescent="0.5">
      <c r="A533" s="1" t="s">
        <v>58</v>
      </c>
      <c r="B533" s="1" t="s">
        <v>56</v>
      </c>
      <c r="C533" s="1" t="s">
        <v>33</v>
      </c>
      <c r="D533" s="1">
        <v>1999</v>
      </c>
      <c r="E533" s="1" t="s">
        <v>104</v>
      </c>
      <c r="F533" s="1">
        <v>5.14</v>
      </c>
      <c r="G533" s="1">
        <v>0</v>
      </c>
      <c r="H533" s="1">
        <v>0</v>
      </c>
      <c r="I533" s="1">
        <v>0</v>
      </c>
      <c r="J533" s="1">
        <v>0</v>
      </c>
      <c r="K533" s="1">
        <f t="shared" si="8"/>
        <v>5.14</v>
      </c>
      <c r="L533" s="1" t="str">
        <f>_xlfn.XLOOKUP(A533,satellite_programs!A:A,satellite_programs!N:N)</f>
        <v>Retired</v>
      </c>
    </row>
    <row r="534" spans="1:12" x14ac:dyDescent="0.5">
      <c r="A534" s="1" t="s">
        <v>58</v>
      </c>
      <c r="B534" s="1" t="s">
        <v>56</v>
      </c>
      <c r="C534" s="1" t="s">
        <v>33</v>
      </c>
      <c r="D534" s="1">
        <v>2000</v>
      </c>
      <c r="E534" s="1" t="s">
        <v>104</v>
      </c>
      <c r="F534" s="1">
        <v>10.28</v>
      </c>
      <c r="G534" s="1">
        <v>0</v>
      </c>
      <c r="H534" s="1">
        <v>0</v>
      </c>
      <c r="I534" s="1">
        <v>0</v>
      </c>
      <c r="J534" s="1">
        <v>0</v>
      </c>
      <c r="K534" s="1">
        <f t="shared" si="8"/>
        <v>10.28</v>
      </c>
      <c r="L534" s="1" t="str">
        <f>_xlfn.XLOOKUP(A534,satellite_programs!A:A,satellite_programs!N:N)</f>
        <v>Retired</v>
      </c>
    </row>
    <row r="535" spans="1:12" x14ac:dyDescent="0.5">
      <c r="A535" s="1" t="s">
        <v>58</v>
      </c>
      <c r="B535" s="1" t="s">
        <v>56</v>
      </c>
      <c r="C535" s="1" t="s">
        <v>33</v>
      </c>
      <c r="D535" s="1">
        <v>2001</v>
      </c>
      <c r="E535" s="1" t="s">
        <v>104</v>
      </c>
      <c r="F535" s="1">
        <v>18.5</v>
      </c>
      <c r="G535" s="1">
        <v>0</v>
      </c>
      <c r="H535" s="1">
        <v>0</v>
      </c>
      <c r="I535" s="1">
        <v>0</v>
      </c>
      <c r="J535" s="1">
        <v>0</v>
      </c>
      <c r="K535" s="1">
        <f t="shared" si="8"/>
        <v>18.5</v>
      </c>
      <c r="L535" s="1" t="str">
        <f>_xlfn.XLOOKUP(A535,satellite_programs!A:A,satellite_programs!N:N)</f>
        <v>Retired</v>
      </c>
    </row>
    <row r="536" spans="1:12" x14ac:dyDescent="0.5">
      <c r="A536" s="1" t="s">
        <v>58</v>
      </c>
      <c r="B536" s="1" t="s">
        <v>56</v>
      </c>
      <c r="C536" s="1" t="s">
        <v>33</v>
      </c>
      <c r="D536" s="1">
        <v>2002</v>
      </c>
      <c r="E536" s="1" t="s">
        <v>104</v>
      </c>
      <c r="F536" s="1">
        <v>22.61</v>
      </c>
      <c r="G536" s="1">
        <v>0</v>
      </c>
      <c r="H536" s="1">
        <v>0</v>
      </c>
      <c r="I536" s="1">
        <v>0</v>
      </c>
      <c r="J536" s="1">
        <v>0</v>
      </c>
      <c r="K536" s="1">
        <f t="shared" si="8"/>
        <v>22.61</v>
      </c>
      <c r="L536" s="1" t="str">
        <f>_xlfn.XLOOKUP(A536,satellite_programs!A:A,satellite_programs!N:N)</f>
        <v>Retired</v>
      </c>
    </row>
    <row r="537" spans="1:12" x14ac:dyDescent="0.5">
      <c r="A537" s="1" t="s">
        <v>58</v>
      </c>
      <c r="B537" s="1" t="s">
        <v>56</v>
      </c>
      <c r="C537" s="1" t="s">
        <v>33</v>
      </c>
      <c r="D537" s="1">
        <v>2003</v>
      </c>
      <c r="E537" s="1" t="s">
        <v>104</v>
      </c>
      <c r="F537" s="1">
        <v>20.55</v>
      </c>
      <c r="G537" s="1">
        <v>19.89</v>
      </c>
      <c r="H537" s="1">
        <v>0</v>
      </c>
      <c r="I537" s="1">
        <v>0</v>
      </c>
      <c r="J537" s="1">
        <v>0</v>
      </c>
      <c r="K537" s="1">
        <f t="shared" si="8"/>
        <v>40.44</v>
      </c>
      <c r="L537" s="1" t="str">
        <f>_xlfn.XLOOKUP(A537,satellite_programs!A:A,satellite_programs!N:N)</f>
        <v>Retired</v>
      </c>
    </row>
    <row r="538" spans="1:12" x14ac:dyDescent="0.5">
      <c r="A538" s="1" t="s">
        <v>58</v>
      </c>
      <c r="B538" s="1" t="s">
        <v>56</v>
      </c>
      <c r="C538" s="1" t="s">
        <v>33</v>
      </c>
      <c r="D538" s="1">
        <v>2004</v>
      </c>
      <c r="E538" s="1" t="s">
        <v>104</v>
      </c>
      <c r="F538" s="1">
        <v>13.35</v>
      </c>
      <c r="G538" s="1">
        <v>16.28</v>
      </c>
      <c r="H538" s="1">
        <v>0</v>
      </c>
      <c r="I538" s="1">
        <v>0</v>
      </c>
      <c r="J538" s="1">
        <v>0</v>
      </c>
      <c r="K538" s="1">
        <f t="shared" si="8"/>
        <v>29.630000000000003</v>
      </c>
      <c r="L538" s="1" t="str">
        <f>_xlfn.XLOOKUP(A538,satellite_programs!A:A,satellite_programs!N:N)</f>
        <v>Retired</v>
      </c>
    </row>
    <row r="539" spans="1:12" x14ac:dyDescent="0.5">
      <c r="A539" s="1" t="s">
        <v>58</v>
      </c>
      <c r="B539" s="1" t="s">
        <v>56</v>
      </c>
      <c r="C539" s="1" t="s">
        <v>33</v>
      </c>
      <c r="D539" s="1">
        <v>2005</v>
      </c>
      <c r="E539" s="1" t="s">
        <v>28</v>
      </c>
      <c r="F539" s="1">
        <v>0</v>
      </c>
      <c r="G539" s="1">
        <v>0</v>
      </c>
      <c r="H539" s="1">
        <v>28.92</v>
      </c>
      <c r="I539" s="1">
        <v>17.88</v>
      </c>
      <c r="J539" s="1">
        <v>0</v>
      </c>
      <c r="K539" s="1">
        <f t="shared" si="8"/>
        <v>46.8</v>
      </c>
      <c r="L539" s="1" t="str">
        <f>_xlfn.XLOOKUP(A539,satellite_programs!A:A,satellite_programs!N:N)</f>
        <v>Retired</v>
      </c>
    </row>
    <row r="540" spans="1:12" x14ac:dyDescent="0.5">
      <c r="A540" s="1" t="s">
        <v>58</v>
      </c>
      <c r="B540" s="1" t="s">
        <v>56</v>
      </c>
      <c r="C540" s="1" t="s">
        <v>33</v>
      </c>
      <c r="D540" s="1">
        <v>2006</v>
      </c>
      <c r="E540" s="1" t="s">
        <v>28</v>
      </c>
      <c r="F540" s="1">
        <v>0</v>
      </c>
      <c r="G540" s="1">
        <v>0</v>
      </c>
      <c r="H540" s="1">
        <v>28.92</v>
      </c>
      <c r="I540" s="1">
        <v>18.420000000000002</v>
      </c>
      <c r="J540" s="1">
        <v>0</v>
      </c>
      <c r="K540" s="1">
        <f t="shared" si="8"/>
        <v>47.34</v>
      </c>
      <c r="L540" s="1" t="str">
        <f>_xlfn.XLOOKUP(A540,satellite_programs!A:A,satellite_programs!N:N)</f>
        <v>Retired</v>
      </c>
    </row>
    <row r="541" spans="1:12" x14ac:dyDescent="0.5">
      <c r="A541" s="1" t="s">
        <v>58</v>
      </c>
      <c r="B541" s="1" t="s">
        <v>56</v>
      </c>
      <c r="C541" s="1" t="s">
        <v>33</v>
      </c>
      <c r="D541" s="1">
        <v>2007</v>
      </c>
      <c r="E541" s="1" t="s">
        <v>28</v>
      </c>
      <c r="F541" s="1">
        <v>0</v>
      </c>
      <c r="G541" s="1">
        <v>0</v>
      </c>
      <c r="H541" s="1">
        <v>28.92</v>
      </c>
      <c r="I541" s="1">
        <v>18.95</v>
      </c>
      <c r="J541" s="1">
        <v>0</v>
      </c>
      <c r="K541" s="1">
        <f t="shared" si="8"/>
        <v>47.870000000000005</v>
      </c>
      <c r="L541" s="1" t="str">
        <f>_xlfn.XLOOKUP(A541,satellite_programs!A:A,satellite_programs!N:N)</f>
        <v>Retired</v>
      </c>
    </row>
    <row r="542" spans="1:12" x14ac:dyDescent="0.5">
      <c r="A542" s="1" t="s">
        <v>58</v>
      </c>
      <c r="B542" s="1" t="s">
        <v>56</v>
      </c>
      <c r="C542" s="1" t="s">
        <v>33</v>
      </c>
      <c r="D542" s="1">
        <v>2008</v>
      </c>
      <c r="E542" s="1" t="s">
        <v>28</v>
      </c>
      <c r="F542" s="1">
        <v>0</v>
      </c>
      <c r="G542" s="1">
        <v>0</v>
      </c>
      <c r="H542" s="1">
        <v>28.92</v>
      </c>
      <c r="I542" s="1">
        <v>19.489999999999998</v>
      </c>
      <c r="J542" s="1">
        <v>0</v>
      </c>
      <c r="K542" s="1">
        <f t="shared" si="8"/>
        <v>48.41</v>
      </c>
      <c r="L542" s="1" t="str">
        <f>_xlfn.XLOOKUP(A542,satellite_programs!A:A,satellite_programs!N:N)</f>
        <v>Retired</v>
      </c>
    </row>
    <row r="543" spans="1:12" x14ac:dyDescent="0.5">
      <c r="A543" s="1" t="s">
        <v>58</v>
      </c>
      <c r="B543" s="1" t="s">
        <v>56</v>
      </c>
      <c r="C543" s="1" t="s">
        <v>33</v>
      </c>
      <c r="D543" s="1">
        <v>2009</v>
      </c>
      <c r="E543" s="1" t="s">
        <v>28</v>
      </c>
      <c r="F543" s="1">
        <v>0</v>
      </c>
      <c r="G543" s="1">
        <v>0</v>
      </c>
      <c r="H543" s="1">
        <v>28.92</v>
      </c>
      <c r="I543" s="1">
        <v>20.03</v>
      </c>
      <c r="J543" s="1">
        <v>0</v>
      </c>
      <c r="K543" s="1">
        <f t="shared" si="8"/>
        <v>48.95</v>
      </c>
      <c r="L543" s="1" t="str">
        <f>_xlfn.XLOOKUP(A543,satellite_programs!A:A,satellite_programs!N:N)</f>
        <v>Retired</v>
      </c>
    </row>
    <row r="544" spans="1:12" x14ac:dyDescent="0.5">
      <c r="A544" s="1" t="s">
        <v>58</v>
      </c>
      <c r="B544" s="1" t="s">
        <v>56</v>
      </c>
      <c r="C544" s="1" t="s">
        <v>33</v>
      </c>
      <c r="D544" s="1">
        <v>2011</v>
      </c>
      <c r="E544" s="1" t="s">
        <v>103</v>
      </c>
      <c r="F544" s="1">
        <v>0</v>
      </c>
      <c r="G544" s="1">
        <v>0</v>
      </c>
      <c r="H544" s="1">
        <v>0</v>
      </c>
      <c r="I544" s="1">
        <v>0</v>
      </c>
      <c r="J544" s="1">
        <v>8.9600000000000009</v>
      </c>
      <c r="K544" s="1">
        <f t="shared" si="8"/>
        <v>8.9600000000000009</v>
      </c>
      <c r="L544" s="1" t="str">
        <f>_xlfn.XLOOKUP(A544,satellite_programs!A:A,satellite_programs!N:N)</f>
        <v>Retired</v>
      </c>
    </row>
    <row r="545" spans="1:12" x14ac:dyDescent="0.5">
      <c r="A545" s="1" t="s">
        <v>59</v>
      </c>
      <c r="B545" s="1" t="s">
        <v>56</v>
      </c>
      <c r="C545" s="1" t="s">
        <v>33</v>
      </c>
      <c r="D545" s="1">
        <v>2002</v>
      </c>
      <c r="E545" s="1" t="s">
        <v>104</v>
      </c>
      <c r="F545" s="1">
        <v>4.59</v>
      </c>
      <c r="G545" s="1">
        <v>0</v>
      </c>
      <c r="H545" s="1">
        <v>0</v>
      </c>
      <c r="I545" s="1">
        <v>0</v>
      </c>
      <c r="J545" s="1">
        <v>0</v>
      </c>
      <c r="K545" s="1">
        <f t="shared" si="8"/>
        <v>4.59</v>
      </c>
      <c r="L545" s="1" t="str">
        <f>_xlfn.XLOOKUP(A545,satellite_programs!A:A,satellite_programs!N:N)</f>
        <v>Retired</v>
      </c>
    </row>
    <row r="546" spans="1:12" x14ac:dyDescent="0.5">
      <c r="A546" s="1" t="s">
        <v>59</v>
      </c>
      <c r="B546" s="1" t="s">
        <v>56</v>
      </c>
      <c r="C546" s="1" t="s">
        <v>33</v>
      </c>
      <c r="D546" s="1">
        <v>2003</v>
      </c>
      <c r="E546" s="1" t="s">
        <v>104</v>
      </c>
      <c r="F546" s="1">
        <v>9.19</v>
      </c>
      <c r="G546" s="1">
        <v>0</v>
      </c>
      <c r="H546" s="1">
        <v>0</v>
      </c>
      <c r="I546" s="1">
        <v>0</v>
      </c>
      <c r="J546" s="1">
        <v>0</v>
      </c>
      <c r="K546" s="1">
        <f t="shared" si="8"/>
        <v>9.19</v>
      </c>
      <c r="L546" s="1" t="str">
        <f>_xlfn.XLOOKUP(A546,satellite_programs!A:A,satellite_programs!N:N)</f>
        <v>Retired</v>
      </c>
    </row>
    <row r="547" spans="1:12" x14ac:dyDescent="0.5">
      <c r="A547" s="1" t="s">
        <v>59</v>
      </c>
      <c r="B547" s="1" t="s">
        <v>56</v>
      </c>
      <c r="C547" s="1" t="s">
        <v>33</v>
      </c>
      <c r="D547" s="1">
        <v>2004</v>
      </c>
      <c r="E547" s="1" t="s">
        <v>104</v>
      </c>
      <c r="F547" s="1">
        <v>16.54</v>
      </c>
      <c r="G547" s="1">
        <v>0</v>
      </c>
      <c r="H547" s="1">
        <v>0</v>
      </c>
      <c r="I547" s="1">
        <v>0</v>
      </c>
      <c r="J547" s="1">
        <v>0</v>
      </c>
      <c r="K547" s="1">
        <f t="shared" si="8"/>
        <v>16.54</v>
      </c>
      <c r="L547" s="1" t="str">
        <f>_xlfn.XLOOKUP(A547,satellite_programs!A:A,satellite_programs!N:N)</f>
        <v>Retired</v>
      </c>
    </row>
    <row r="548" spans="1:12" x14ac:dyDescent="0.5">
      <c r="A548" s="1" t="s">
        <v>59</v>
      </c>
      <c r="B548" s="1" t="s">
        <v>56</v>
      </c>
      <c r="C548" s="1" t="s">
        <v>33</v>
      </c>
      <c r="D548" s="1">
        <v>2005</v>
      </c>
      <c r="E548" s="1" t="s">
        <v>104</v>
      </c>
      <c r="F548" s="1">
        <v>20.21</v>
      </c>
      <c r="G548" s="1">
        <v>0</v>
      </c>
      <c r="H548" s="1">
        <v>0</v>
      </c>
      <c r="I548" s="1">
        <v>0</v>
      </c>
      <c r="J548" s="1">
        <v>0</v>
      </c>
      <c r="K548" s="1">
        <f t="shared" si="8"/>
        <v>20.21</v>
      </c>
      <c r="L548" s="1" t="str">
        <f>_xlfn.XLOOKUP(A548,satellite_programs!A:A,satellite_programs!N:N)</f>
        <v>Retired</v>
      </c>
    </row>
    <row r="549" spans="1:12" x14ac:dyDescent="0.5">
      <c r="A549" s="1" t="s">
        <v>59</v>
      </c>
      <c r="B549" s="1" t="s">
        <v>56</v>
      </c>
      <c r="C549" s="1" t="s">
        <v>33</v>
      </c>
      <c r="D549" s="1">
        <v>2006</v>
      </c>
      <c r="E549" s="1" t="s">
        <v>104</v>
      </c>
      <c r="F549" s="1">
        <v>18.38</v>
      </c>
      <c r="G549" s="1">
        <v>17.79</v>
      </c>
      <c r="H549" s="1">
        <v>0</v>
      </c>
      <c r="I549" s="1">
        <v>0</v>
      </c>
      <c r="J549" s="1">
        <v>0</v>
      </c>
      <c r="K549" s="1">
        <f t="shared" si="8"/>
        <v>36.17</v>
      </c>
      <c r="L549" s="1" t="str">
        <f>_xlfn.XLOOKUP(A549,satellite_programs!A:A,satellite_programs!N:N)</f>
        <v>Retired</v>
      </c>
    </row>
    <row r="550" spans="1:12" x14ac:dyDescent="0.5">
      <c r="A550" s="1" t="s">
        <v>59</v>
      </c>
      <c r="B550" s="1" t="s">
        <v>56</v>
      </c>
      <c r="C550" s="1" t="s">
        <v>33</v>
      </c>
      <c r="D550" s="1">
        <v>2007</v>
      </c>
      <c r="E550" s="1" t="s">
        <v>104</v>
      </c>
      <c r="F550" s="1">
        <v>11.94</v>
      </c>
      <c r="G550" s="1">
        <v>14.55</v>
      </c>
      <c r="H550" s="1">
        <v>0</v>
      </c>
      <c r="I550" s="1">
        <v>0</v>
      </c>
      <c r="J550" s="1">
        <v>0</v>
      </c>
      <c r="K550" s="1">
        <f t="shared" si="8"/>
        <v>26.490000000000002</v>
      </c>
      <c r="L550" s="1" t="str">
        <f>_xlfn.XLOOKUP(A550,satellite_programs!A:A,satellite_programs!N:N)</f>
        <v>Retired</v>
      </c>
    </row>
    <row r="551" spans="1:12" x14ac:dyDescent="0.5">
      <c r="A551" s="1" t="s">
        <v>59</v>
      </c>
      <c r="B551" s="1" t="s">
        <v>56</v>
      </c>
      <c r="C551" s="1" t="s">
        <v>33</v>
      </c>
      <c r="D551" s="1">
        <v>2008</v>
      </c>
      <c r="E551" s="1" t="s">
        <v>28</v>
      </c>
      <c r="F551" s="1">
        <v>0</v>
      </c>
      <c r="G551" s="1">
        <v>0</v>
      </c>
      <c r="H551" s="1">
        <v>29.12</v>
      </c>
      <c r="I551" s="1">
        <v>18.239999999999998</v>
      </c>
      <c r="J551" s="1">
        <v>0</v>
      </c>
      <c r="K551" s="1">
        <f t="shared" si="8"/>
        <v>47.36</v>
      </c>
      <c r="L551" s="1" t="str">
        <f>_xlfn.XLOOKUP(A551,satellite_programs!A:A,satellite_programs!N:N)</f>
        <v>Retired</v>
      </c>
    </row>
    <row r="552" spans="1:12" x14ac:dyDescent="0.5">
      <c r="A552" s="1" t="s">
        <v>59</v>
      </c>
      <c r="B552" s="1" t="s">
        <v>56</v>
      </c>
      <c r="C552" s="1" t="s">
        <v>33</v>
      </c>
      <c r="D552" s="1">
        <v>2009</v>
      </c>
      <c r="E552" s="1" t="s">
        <v>28</v>
      </c>
      <c r="F552" s="1">
        <v>0</v>
      </c>
      <c r="G552" s="1">
        <v>0</v>
      </c>
      <c r="H552" s="1">
        <v>29.12</v>
      </c>
      <c r="I552" s="1">
        <v>18.79</v>
      </c>
      <c r="J552" s="1">
        <v>0</v>
      </c>
      <c r="K552" s="1">
        <f t="shared" si="8"/>
        <v>47.91</v>
      </c>
      <c r="L552" s="1" t="str">
        <f>_xlfn.XLOOKUP(A552,satellite_programs!A:A,satellite_programs!N:N)</f>
        <v>Retired</v>
      </c>
    </row>
    <row r="553" spans="1:12" x14ac:dyDescent="0.5">
      <c r="A553" s="1" t="s">
        <v>59</v>
      </c>
      <c r="B553" s="1" t="s">
        <v>56</v>
      </c>
      <c r="C553" s="1" t="s">
        <v>33</v>
      </c>
      <c r="D553" s="1">
        <v>2010</v>
      </c>
      <c r="E553" s="1" t="s">
        <v>28</v>
      </c>
      <c r="F553" s="1">
        <v>0</v>
      </c>
      <c r="G553" s="1">
        <v>0</v>
      </c>
      <c r="H553" s="1">
        <v>29.12</v>
      </c>
      <c r="I553" s="1">
        <v>19.329999999999998</v>
      </c>
      <c r="J553" s="1">
        <v>0</v>
      </c>
      <c r="K553" s="1">
        <f t="shared" si="8"/>
        <v>48.45</v>
      </c>
      <c r="L553" s="1" t="str">
        <f>_xlfn.XLOOKUP(A553,satellite_programs!A:A,satellite_programs!N:N)</f>
        <v>Retired</v>
      </c>
    </row>
    <row r="554" spans="1:12" x14ac:dyDescent="0.5">
      <c r="A554" s="1" t="s">
        <v>59</v>
      </c>
      <c r="B554" s="1" t="s">
        <v>56</v>
      </c>
      <c r="C554" s="1" t="s">
        <v>33</v>
      </c>
      <c r="D554" s="1">
        <v>2011</v>
      </c>
      <c r="E554" s="1" t="s">
        <v>28</v>
      </c>
      <c r="F554" s="1">
        <v>0</v>
      </c>
      <c r="G554" s="1">
        <v>0</v>
      </c>
      <c r="H554" s="1">
        <v>29.12</v>
      </c>
      <c r="I554" s="1">
        <v>19.88</v>
      </c>
      <c r="J554" s="1">
        <v>0</v>
      </c>
      <c r="K554" s="1">
        <f t="shared" si="8"/>
        <v>49</v>
      </c>
      <c r="L554" s="1" t="str">
        <f>_xlfn.XLOOKUP(A554,satellite_programs!A:A,satellite_programs!N:N)</f>
        <v>Retired</v>
      </c>
    </row>
    <row r="555" spans="1:12" x14ac:dyDescent="0.5">
      <c r="A555" s="1" t="s">
        <v>59</v>
      </c>
      <c r="B555" s="1" t="s">
        <v>56</v>
      </c>
      <c r="C555" s="1" t="s">
        <v>33</v>
      </c>
      <c r="D555" s="1">
        <v>2012</v>
      </c>
      <c r="E555" s="1" t="s">
        <v>28</v>
      </c>
      <c r="F555" s="1">
        <v>0</v>
      </c>
      <c r="G555" s="1">
        <v>0</v>
      </c>
      <c r="H555" s="1">
        <v>29.12</v>
      </c>
      <c r="I555" s="1">
        <v>20.43</v>
      </c>
      <c r="J555" s="1">
        <v>0</v>
      </c>
      <c r="K555" s="1">
        <f t="shared" si="8"/>
        <v>49.55</v>
      </c>
      <c r="L555" s="1" t="str">
        <f>_xlfn.XLOOKUP(A555,satellite_programs!A:A,satellite_programs!N:N)</f>
        <v>Retired</v>
      </c>
    </row>
    <row r="556" spans="1:12" x14ac:dyDescent="0.5">
      <c r="A556" s="1" t="s">
        <v>59</v>
      </c>
      <c r="B556" s="1" t="s">
        <v>56</v>
      </c>
      <c r="C556" s="1" t="s">
        <v>33</v>
      </c>
      <c r="D556" s="1">
        <v>2013</v>
      </c>
      <c r="E556" s="1" t="s">
        <v>28</v>
      </c>
      <c r="F556" s="1">
        <v>0</v>
      </c>
      <c r="G556" s="1">
        <v>0</v>
      </c>
      <c r="H556" s="1">
        <v>29.12</v>
      </c>
      <c r="I556" s="1">
        <v>20.98</v>
      </c>
      <c r="J556" s="1">
        <v>0</v>
      </c>
      <c r="K556" s="1">
        <f t="shared" si="8"/>
        <v>50.1</v>
      </c>
      <c r="L556" s="1" t="str">
        <f>_xlfn.XLOOKUP(A556,satellite_programs!A:A,satellite_programs!N:N)</f>
        <v>Retired</v>
      </c>
    </row>
    <row r="557" spans="1:12" x14ac:dyDescent="0.5">
      <c r="A557" s="1" t="s">
        <v>59</v>
      </c>
      <c r="B557" s="1" t="s">
        <v>56</v>
      </c>
      <c r="C557" s="1" t="s">
        <v>33</v>
      </c>
      <c r="D557" s="1">
        <v>2014</v>
      </c>
      <c r="E557" s="1" t="s">
        <v>28</v>
      </c>
      <c r="F557" s="1">
        <v>0</v>
      </c>
      <c r="G557" s="1">
        <v>0</v>
      </c>
      <c r="H557" s="1">
        <v>29.12</v>
      </c>
      <c r="I557" s="1">
        <v>21.52</v>
      </c>
      <c r="J557" s="1">
        <v>0</v>
      </c>
      <c r="K557" s="1">
        <f t="shared" si="8"/>
        <v>50.64</v>
      </c>
      <c r="L557" s="1" t="str">
        <f>_xlfn.XLOOKUP(A557,satellite_programs!A:A,satellite_programs!N:N)</f>
        <v>Retired</v>
      </c>
    </row>
    <row r="558" spans="1:12" x14ac:dyDescent="0.5">
      <c r="A558" s="1" t="s">
        <v>59</v>
      </c>
      <c r="B558" s="1" t="s">
        <v>56</v>
      </c>
      <c r="C558" s="1" t="s">
        <v>33</v>
      </c>
      <c r="D558" s="1">
        <v>2016</v>
      </c>
      <c r="E558" s="1" t="s">
        <v>103</v>
      </c>
      <c r="F558" s="1">
        <v>0</v>
      </c>
      <c r="G558" s="1">
        <v>0</v>
      </c>
      <c r="H558" s="1">
        <v>0</v>
      </c>
      <c r="I558" s="1">
        <v>0</v>
      </c>
      <c r="J558" s="1">
        <v>9.06</v>
      </c>
      <c r="K558" s="1">
        <f t="shared" si="8"/>
        <v>9.06</v>
      </c>
      <c r="L558" s="1" t="str">
        <f>_xlfn.XLOOKUP(A558,satellite_programs!A:A,satellite_programs!N:N)</f>
        <v>Retired</v>
      </c>
    </row>
    <row r="559" spans="1:12" x14ac:dyDescent="0.5">
      <c r="A559" s="1" t="s">
        <v>60</v>
      </c>
      <c r="B559" s="1" t="s">
        <v>56</v>
      </c>
      <c r="C559" s="1" t="s">
        <v>33</v>
      </c>
      <c r="D559" s="1">
        <v>2005</v>
      </c>
      <c r="E559" s="1" t="s">
        <v>104</v>
      </c>
      <c r="F559" s="1">
        <v>5.0199999999999996</v>
      </c>
      <c r="G559" s="1">
        <v>0</v>
      </c>
      <c r="H559" s="1">
        <v>0</v>
      </c>
      <c r="I559" s="1">
        <v>0</v>
      </c>
      <c r="J559" s="1">
        <v>0</v>
      </c>
      <c r="K559" s="1">
        <f t="shared" si="8"/>
        <v>5.0199999999999996</v>
      </c>
      <c r="L559" s="1" t="str">
        <f>_xlfn.XLOOKUP(A559,satellite_programs!A:A,satellite_programs!N:N)</f>
        <v>Retired</v>
      </c>
    </row>
    <row r="560" spans="1:12" x14ac:dyDescent="0.5">
      <c r="A560" s="1" t="s">
        <v>60</v>
      </c>
      <c r="B560" s="1" t="s">
        <v>56</v>
      </c>
      <c r="C560" s="1" t="s">
        <v>33</v>
      </c>
      <c r="D560" s="1">
        <v>2006</v>
      </c>
      <c r="E560" s="1" t="s">
        <v>104</v>
      </c>
      <c r="F560" s="1">
        <v>10.039999999999999</v>
      </c>
      <c r="G560" s="1">
        <v>0</v>
      </c>
      <c r="H560" s="1">
        <v>0</v>
      </c>
      <c r="I560" s="1">
        <v>0</v>
      </c>
      <c r="J560" s="1">
        <v>0</v>
      </c>
      <c r="K560" s="1">
        <f t="shared" si="8"/>
        <v>10.039999999999999</v>
      </c>
      <c r="L560" s="1" t="str">
        <f>_xlfn.XLOOKUP(A560,satellite_programs!A:A,satellite_programs!N:N)</f>
        <v>Retired</v>
      </c>
    </row>
    <row r="561" spans="1:12" x14ac:dyDescent="0.5">
      <c r="A561" s="1" t="s">
        <v>60</v>
      </c>
      <c r="B561" s="1" t="s">
        <v>56</v>
      </c>
      <c r="C561" s="1" t="s">
        <v>33</v>
      </c>
      <c r="D561" s="1">
        <v>2007</v>
      </c>
      <c r="E561" s="1" t="s">
        <v>104</v>
      </c>
      <c r="F561" s="1">
        <v>18.059999999999999</v>
      </c>
      <c r="G561" s="1">
        <v>0</v>
      </c>
      <c r="H561" s="1">
        <v>0</v>
      </c>
      <c r="I561" s="1">
        <v>0</v>
      </c>
      <c r="J561" s="1">
        <v>0</v>
      </c>
      <c r="K561" s="1">
        <f t="shared" si="8"/>
        <v>18.059999999999999</v>
      </c>
      <c r="L561" s="1" t="str">
        <f>_xlfn.XLOOKUP(A561,satellite_programs!A:A,satellite_programs!N:N)</f>
        <v>Retired</v>
      </c>
    </row>
    <row r="562" spans="1:12" x14ac:dyDescent="0.5">
      <c r="A562" s="1" t="s">
        <v>60</v>
      </c>
      <c r="B562" s="1" t="s">
        <v>56</v>
      </c>
      <c r="C562" s="1" t="s">
        <v>33</v>
      </c>
      <c r="D562" s="1">
        <v>2008</v>
      </c>
      <c r="E562" s="1" t="s">
        <v>104</v>
      </c>
      <c r="F562" s="1">
        <v>22.08</v>
      </c>
      <c r="G562" s="1">
        <v>0</v>
      </c>
      <c r="H562" s="1">
        <v>0</v>
      </c>
      <c r="I562" s="1">
        <v>0</v>
      </c>
      <c r="J562" s="1">
        <v>0</v>
      </c>
      <c r="K562" s="1">
        <f t="shared" si="8"/>
        <v>22.08</v>
      </c>
      <c r="L562" s="1" t="str">
        <f>_xlfn.XLOOKUP(A562,satellite_programs!A:A,satellite_programs!N:N)</f>
        <v>Retired</v>
      </c>
    </row>
    <row r="563" spans="1:12" x14ac:dyDescent="0.5">
      <c r="A563" s="1" t="s">
        <v>60</v>
      </c>
      <c r="B563" s="1" t="s">
        <v>56</v>
      </c>
      <c r="C563" s="1" t="s">
        <v>33</v>
      </c>
      <c r="D563" s="1">
        <v>2009</v>
      </c>
      <c r="E563" s="1" t="s">
        <v>104</v>
      </c>
      <c r="F563" s="1">
        <v>20.07</v>
      </c>
      <c r="G563" s="1">
        <v>19.43</v>
      </c>
      <c r="H563" s="1">
        <v>0</v>
      </c>
      <c r="I563" s="1">
        <v>0</v>
      </c>
      <c r="J563" s="1">
        <v>0</v>
      </c>
      <c r="K563" s="1">
        <f t="shared" si="8"/>
        <v>39.5</v>
      </c>
      <c r="L563" s="1" t="str">
        <f>_xlfn.XLOOKUP(A563,satellite_programs!A:A,satellite_programs!N:N)</f>
        <v>Retired</v>
      </c>
    </row>
    <row r="564" spans="1:12" x14ac:dyDescent="0.5">
      <c r="A564" s="1" t="s">
        <v>60</v>
      </c>
      <c r="B564" s="1" t="s">
        <v>56</v>
      </c>
      <c r="C564" s="1" t="s">
        <v>33</v>
      </c>
      <c r="D564" s="1">
        <v>2010</v>
      </c>
      <c r="E564" s="1" t="s">
        <v>104</v>
      </c>
      <c r="F564" s="1">
        <v>13.04</v>
      </c>
      <c r="G564" s="1">
        <v>15.89</v>
      </c>
      <c r="H564" s="1">
        <v>0</v>
      </c>
      <c r="I564" s="1">
        <v>0</v>
      </c>
      <c r="J564" s="1">
        <v>0</v>
      </c>
      <c r="K564" s="1">
        <f t="shared" si="8"/>
        <v>28.93</v>
      </c>
      <c r="L564" s="1" t="str">
        <f>_xlfn.XLOOKUP(A564,satellite_programs!A:A,satellite_programs!N:N)</f>
        <v>Retired</v>
      </c>
    </row>
    <row r="565" spans="1:12" x14ac:dyDescent="0.5">
      <c r="A565" s="1" t="s">
        <v>60</v>
      </c>
      <c r="B565" s="1" t="s">
        <v>56</v>
      </c>
      <c r="C565" s="1" t="s">
        <v>33</v>
      </c>
      <c r="D565" s="1">
        <v>2011</v>
      </c>
      <c r="E565" s="1" t="s">
        <v>28</v>
      </c>
      <c r="F565" s="1">
        <v>0</v>
      </c>
      <c r="G565" s="1">
        <v>0</v>
      </c>
      <c r="H565" s="1">
        <v>31.16</v>
      </c>
      <c r="I565" s="1">
        <v>18.600000000000001</v>
      </c>
      <c r="J565" s="1">
        <v>0</v>
      </c>
      <c r="K565" s="1">
        <f t="shared" si="8"/>
        <v>49.760000000000005</v>
      </c>
      <c r="L565" s="1" t="str">
        <f>_xlfn.XLOOKUP(A565,satellite_programs!A:A,satellite_programs!N:N)</f>
        <v>Retired</v>
      </c>
    </row>
    <row r="566" spans="1:12" x14ac:dyDescent="0.5">
      <c r="A566" s="1" t="s">
        <v>60</v>
      </c>
      <c r="B566" s="1" t="s">
        <v>56</v>
      </c>
      <c r="C566" s="1" t="s">
        <v>33</v>
      </c>
      <c r="D566" s="1">
        <v>2012</v>
      </c>
      <c r="E566" s="1" t="s">
        <v>28</v>
      </c>
      <c r="F566" s="1">
        <v>0</v>
      </c>
      <c r="G566" s="1">
        <v>0</v>
      </c>
      <c r="H566" s="1">
        <v>31.16</v>
      </c>
      <c r="I566" s="1">
        <v>19.16</v>
      </c>
      <c r="J566" s="1">
        <v>0</v>
      </c>
      <c r="K566" s="1">
        <f t="shared" si="8"/>
        <v>50.32</v>
      </c>
      <c r="L566" s="1" t="str">
        <f>_xlfn.XLOOKUP(A566,satellite_programs!A:A,satellite_programs!N:N)</f>
        <v>Retired</v>
      </c>
    </row>
    <row r="567" spans="1:12" x14ac:dyDescent="0.5">
      <c r="A567" s="1" t="s">
        <v>60</v>
      </c>
      <c r="B567" s="1" t="s">
        <v>56</v>
      </c>
      <c r="C567" s="1" t="s">
        <v>33</v>
      </c>
      <c r="D567" s="1">
        <v>2013</v>
      </c>
      <c r="E567" s="1" t="s">
        <v>28</v>
      </c>
      <c r="F567" s="1">
        <v>0</v>
      </c>
      <c r="G567" s="1">
        <v>0</v>
      </c>
      <c r="H567" s="1">
        <v>31.16</v>
      </c>
      <c r="I567" s="1">
        <v>19.72</v>
      </c>
      <c r="J567" s="1">
        <v>0</v>
      </c>
      <c r="K567" s="1">
        <f t="shared" si="8"/>
        <v>50.879999999999995</v>
      </c>
      <c r="L567" s="1" t="str">
        <f>_xlfn.XLOOKUP(A567,satellite_programs!A:A,satellite_programs!N:N)</f>
        <v>Retired</v>
      </c>
    </row>
    <row r="568" spans="1:12" x14ac:dyDescent="0.5">
      <c r="A568" s="1" t="s">
        <v>60</v>
      </c>
      <c r="B568" s="1" t="s">
        <v>56</v>
      </c>
      <c r="C568" s="1" t="s">
        <v>33</v>
      </c>
      <c r="D568" s="1">
        <v>2014</v>
      </c>
      <c r="E568" s="1" t="s">
        <v>28</v>
      </c>
      <c r="F568" s="1">
        <v>0</v>
      </c>
      <c r="G568" s="1">
        <v>0</v>
      </c>
      <c r="H568" s="1">
        <v>31.16</v>
      </c>
      <c r="I568" s="1">
        <v>20.27</v>
      </c>
      <c r="J568" s="1">
        <v>0</v>
      </c>
      <c r="K568" s="1">
        <f t="shared" si="8"/>
        <v>51.43</v>
      </c>
      <c r="L568" s="1" t="str">
        <f>_xlfn.XLOOKUP(A568,satellite_programs!A:A,satellite_programs!N:N)</f>
        <v>Retired</v>
      </c>
    </row>
    <row r="569" spans="1:12" x14ac:dyDescent="0.5">
      <c r="A569" s="1" t="s">
        <v>60</v>
      </c>
      <c r="B569" s="1" t="s">
        <v>56</v>
      </c>
      <c r="C569" s="1" t="s">
        <v>33</v>
      </c>
      <c r="D569" s="1">
        <v>2015</v>
      </c>
      <c r="E569" s="1" t="s">
        <v>28</v>
      </c>
      <c r="F569" s="1">
        <v>0</v>
      </c>
      <c r="G569" s="1">
        <v>0</v>
      </c>
      <c r="H569" s="1">
        <v>31.16</v>
      </c>
      <c r="I569" s="1">
        <v>20.83</v>
      </c>
      <c r="J569" s="1">
        <v>0</v>
      </c>
      <c r="K569" s="1">
        <f t="shared" si="8"/>
        <v>51.989999999999995</v>
      </c>
      <c r="L569" s="1" t="str">
        <f>_xlfn.XLOOKUP(A569,satellite_programs!A:A,satellite_programs!N:N)</f>
        <v>Retired</v>
      </c>
    </row>
    <row r="570" spans="1:12" x14ac:dyDescent="0.5">
      <c r="A570" s="1" t="s">
        <v>60</v>
      </c>
      <c r="B570" s="1" t="s">
        <v>56</v>
      </c>
      <c r="C570" s="1" t="s">
        <v>33</v>
      </c>
      <c r="D570" s="1">
        <v>2016</v>
      </c>
      <c r="E570" s="1" t="s">
        <v>28</v>
      </c>
      <c r="F570" s="1">
        <v>0</v>
      </c>
      <c r="G570" s="1">
        <v>0</v>
      </c>
      <c r="H570" s="1">
        <v>31.16</v>
      </c>
      <c r="I570" s="1">
        <v>21.39</v>
      </c>
      <c r="J570" s="1">
        <v>0</v>
      </c>
      <c r="K570" s="1">
        <f t="shared" si="8"/>
        <v>52.55</v>
      </c>
      <c r="L570" s="1" t="str">
        <f>_xlfn.XLOOKUP(A570,satellite_programs!A:A,satellite_programs!N:N)</f>
        <v>Retired</v>
      </c>
    </row>
    <row r="571" spans="1:12" x14ac:dyDescent="0.5">
      <c r="A571" s="1" t="s">
        <v>60</v>
      </c>
      <c r="B571" s="1" t="s">
        <v>56</v>
      </c>
      <c r="C571" s="1" t="s">
        <v>33</v>
      </c>
      <c r="D571" s="1">
        <v>2017</v>
      </c>
      <c r="E571" s="1" t="s">
        <v>28</v>
      </c>
      <c r="F571" s="1">
        <v>0</v>
      </c>
      <c r="G571" s="1">
        <v>0</v>
      </c>
      <c r="H571" s="1">
        <v>31.16</v>
      </c>
      <c r="I571" s="1">
        <v>21.95</v>
      </c>
      <c r="J571" s="1">
        <v>0</v>
      </c>
      <c r="K571" s="1">
        <f t="shared" si="8"/>
        <v>53.11</v>
      </c>
      <c r="L571" s="1" t="str">
        <f>_xlfn.XLOOKUP(A571,satellite_programs!A:A,satellite_programs!N:N)</f>
        <v>Retired</v>
      </c>
    </row>
    <row r="572" spans="1:12" x14ac:dyDescent="0.5">
      <c r="A572" s="1" t="s">
        <v>60</v>
      </c>
      <c r="B572" s="1" t="s">
        <v>56</v>
      </c>
      <c r="C572" s="1" t="s">
        <v>33</v>
      </c>
      <c r="D572" s="1">
        <v>2019</v>
      </c>
      <c r="E572" s="1" t="s">
        <v>103</v>
      </c>
      <c r="F572" s="1">
        <v>0</v>
      </c>
      <c r="G572" s="1">
        <v>0</v>
      </c>
      <c r="H572" s="1">
        <v>0</v>
      </c>
      <c r="I572" s="1">
        <v>0</v>
      </c>
      <c r="J572" s="1">
        <v>9.18</v>
      </c>
      <c r="K572" s="1">
        <f t="shared" si="8"/>
        <v>9.18</v>
      </c>
      <c r="L572" s="1" t="str">
        <f>_xlfn.XLOOKUP(A572,satellite_programs!A:A,satellite_programs!N:N)</f>
        <v>Retired</v>
      </c>
    </row>
    <row r="573" spans="1:12" x14ac:dyDescent="0.5">
      <c r="A573" s="1" t="s">
        <v>61</v>
      </c>
      <c r="B573" s="1" t="s">
        <v>56</v>
      </c>
      <c r="C573" s="1" t="s">
        <v>62</v>
      </c>
      <c r="D573" s="1">
        <v>2008</v>
      </c>
      <c r="E573" s="1" t="s">
        <v>104</v>
      </c>
      <c r="F573" s="1">
        <v>5.38</v>
      </c>
      <c r="G573" s="1">
        <v>0</v>
      </c>
      <c r="H573" s="1">
        <v>0</v>
      </c>
      <c r="I573" s="1">
        <v>0</v>
      </c>
      <c r="J573" s="1">
        <v>0</v>
      </c>
      <c r="K573" s="1">
        <f t="shared" si="8"/>
        <v>5.38</v>
      </c>
      <c r="L573" s="1" t="str">
        <f>_xlfn.XLOOKUP(A573,satellite_programs!A:A,satellite_programs!N:N)</f>
        <v>Retired</v>
      </c>
    </row>
    <row r="574" spans="1:12" x14ac:dyDescent="0.5">
      <c r="A574" s="1" t="s">
        <v>61</v>
      </c>
      <c r="B574" s="1" t="s">
        <v>56</v>
      </c>
      <c r="C574" s="1" t="s">
        <v>62</v>
      </c>
      <c r="D574" s="1">
        <v>2009</v>
      </c>
      <c r="E574" s="1" t="s">
        <v>104</v>
      </c>
      <c r="F574" s="1">
        <v>10.75</v>
      </c>
      <c r="G574" s="1">
        <v>0</v>
      </c>
      <c r="H574" s="1">
        <v>0</v>
      </c>
      <c r="I574" s="1">
        <v>0</v>
      </c>
      <c r="J574" s="1">
        <v>0</v>
      </c>
      <c r="K574" s="1">
        <f t="shared" si="8"/>
        <v>10.75</v>
      </c>
      <c r="L574" s="1" t="str">
        <f>_xlfn.XLOOKUP(A574,satellite_programs!A:A,satellite_programs!N:N)</f>
        <v>Retired</v>
      </c>
    </row>
    <row r="575" spans="1:12" x14ac:dyDescent="0.5">
      <c r="A575" s="1" t="s">
        <v>61</v>
      </c>
      <c r="B575" s="1" t="s">
        <v>56</v>
      </c>
      <c r="C575" s="1" t="s">
        <v>62</v>
      </c>
      <c r="D575" s="1">
        <v>2010</v>
      </c>
      <c r="E575" s="1" t="s">
        <v>104</v>
      </c>
      <c r="F575" s="1">
        <v>19.36</v>
      </c>
      <c r="G575" s="1">
        <v>0</v>
      </c>
      <c r="H575" s="1">
        <v>0</v>
      </c>
      <c r="I575" s="1">
        <v>0</v>
      </c>
      <c r="J575" s="1">
        <v>0</v>
      </c>
      <c r="K575" s="1">
        <f t="shared" si="8"/>
        <v>19.36</v>
      </c>
      <c r="L575" s="1" t="str">
        <f>_xlfn.XLOOKUP(A575,satellite_programs!A:A,satellite_programs!N:N)</f>
        <v>Retired</v>
      </c>
    </row>
    <row r="576" spans="1:12" x14ac:dyDescent="0.5">
      <c r="A576" s="1" t="s">
        <v>61</v>
      </c>
      <c r="B576" s="1" t="s">
        <v>56</v>
      </c>
      <c r="C576" s="1" t="s">
        <v>62</v>
      </c>
      <c r="D576" s="1">
        <v>2011</v>
      </c>
      <c r="E576" s="1" t="s">
        <v>104</v>
      </c>
      <c r="F576" s="1">
        <v>23.66</v>
      </c>
      <c r="G576" s="1">
        <v>0</v>
      </c>
      <c r="H576" s="1">
        <v>0</v>
      </c>
      <c r="I576" s="1">
        <v>0</v>
      </c>
      <c r="J576" s="1">
        <v>0</v>
      </c>
      <c r="K576" s="1">
        <f t="shared" si="8"/>
        <v>23.66</v>
      </c>
      <c r="L576" s="1" t="str">
        <f>_xlfn.XLOOKUP(A576,satellite_programs!A:A,satellite_programs!N:N)</f>
        <v>Retired</v>
      </c>
    </row>
    <row r="577" spans="1:12" x14ac:dyDescent="0.5">
      <c r="A577" s="1" t="s">
        <v>61</v>
      </c>
      <c r="B577" s="1" t="s">
        <v>56</v>
      </c>
      <c r="C577" s="1" t="s">
        <v>62</v>
      </c>
      <c r="D577" s="1">
        <v>2012</v>
      </c>
      <c r="E577" s="1" t="s">
        <v>104</v>
      </c>
      <c r="F577" s="1">
        <v>21.51</v>
      </c>
      <c r="G577" s="1">
        <v>20.82</v>
      </c>
      <c r="H577" s="1">
        <v>0</v>
      </c>
      <c r="I577" s="1">
        <v>0</v>
      </c>
      <c r="J577" s="1">
        <v>0</v>
      </c>
      <c r="K577" s="1">
        <f t="shared" si="8"/>
        <v>42.33</v>
      </c>
      <c r="L577" s="1" t="str">
        <f>_xlfn.XLOOKUP(A577,satellite_programs!A:A,satellite_programs!N:N)</f>
        <v>Retired</v>
      </c>
    </row>
    <row r="578" spans="1:12" x14ac:dyDescent="0.5">
      <c r="A578" s="1" t="s">
        <v>61</v>
      </c>
      <c r="B578" s="1" t="s">
        <v>56</v>
      </c>
      <c r="C578" s="1" t="s">
        <v>62</v>
      </c>
      <c r="D578" s="1">
        <v>2013</v>
      </c>
      <c r="E578" s="1" t="s">
        <v>104</v>
      </c>
      <c r="F578" s="1">
        <v>13.98</v>
      </c>
      <c r="G578" s="1">
        <v>17.04</v>
      </c>
      <c r="H578" s="1">
        <v>0</v>
      </c>
      <c r="I578" s="1">
        <v>0</v>
      </c>
      <c r="J578" s="1">
        <v>0</v>
      </c>
      <c r="K578" s="1">
        <f t="shared" ref="K578:K641" si="9">SUM(F578:J578)</f>
        <v>31.02</v>
      </c>
      <c r="L578" s="1" t="str">
        <f>_xlfn.XLOOKUP(A578,satellite_programs!A:A,satellite_programs!N:N)</f>
        <v>Retired</v>
      </c>
    </row>
    <row r="579" spans="1:12" x14ac:dyDescent="0.5">
      <c r="A579" s="1" t="s">
        <v>61</v>
      </c>
      <c r="B579" s="1" t="s">
        <v>56</v>
      </c>
      <c r="C579" s="1" t="s">
        <v>62</v>
      </c>
      <c r="D579" s="1">
        <v>2014</v>
      </c>
      <c r="E579" s="1" t="s">
        <v>28</v>
      </c>
      <c r="F579" s="1">
        <v>0</v>
      </c>
      <c r="G579" s="1">
        <v>0</v>
      </c>
      <c r="H579" s="1">
        <v>37.4</v>
      </c>
      <c r="I579" s="1">
        <v>16.96</v>
      </c>
      <c r="J579" s="1">
        <v>0</v>
      </c>
      <c r="K579" s="1">
        <f t="shared" si="9"/>
        <v>54.36</v>
      </c>
      <c r="L579" s="1" t="str">
        <f>_xlfn.XLOOKUP(A579,satellite_programs!A:A,satellite_programs!N:N)</f>
        <v>Retired</v>
      </c>
    </row>
    <row r="580" spans="1:12" x14ac:dyDescent="0.5">
      <c r="A580" s="1" t="s">
        <v>61</v>
      </c>
      <c r="B580" s="1" t="s">
        <v>56</v>
      </c>
      <c r="C580" s="1" t="s">
        <v>62</v>
      </c>
      <c r="D580" s="1">
        <v>2015</v>
      </c>
      <c r="E580" s="1" t="s">
        <v>28</v>
      </c>
      <c r="F580" s="1">
        <v>0</v>
      </c>
      <c r="G580" s="1">
        <v>0</v>
      </c>
      <c r="H580" s="1">
        <v>37.4</v>
      </c>
      <c r="I580" s="1">
        <v>17.47</v>
      </c>
      <c r="J580" s="1">
        <v>0</v>
      </c>
      <c r="K580" s="1">
        <f t="shared" si="9"/>
        <v>54.87</v>
      </c>
      <c r="L580" s="1" t="str">
        <f>_xlfn.XLOOKUP(A580,satellite_programs!A:A,satellite_programs!N:N)</f>
        <v>Retired</v>
      </c>
    </row>
    <row r="581" spans="1:12" x14ac:dyDescent="0.5">
      <c r="A581" s="1" t="s">
        <v>61</v>
      </c>
      <c r="B581" s="1" t="s">
        <v>56</v>
      </c>
      <c r="C581" s="1" t="s">
        <v>62</v>
      </c>
      <c r="D581" s="1">
        <v>2016</v>
      </c>
      <c r="E581" s="1" t="s">
        <v>28</v>
      </c>
      <c r="F581" s="1">
        <v>0</v>
      </c>
      <c r="G581" s="1">
        <v>0</v>
      </c>
      <c r="H581" s="1">
        <v>37.4</v>
      </c>
      <c r="I581" s="1">
        <v>17.98</v>
      </c>
      <c r="J581" s="1">
        <v>0</v>
      </c>
      <c r="K581" s="1">
        <f t="shared" si="9"/>
        <v>55.379999999999995</v>
      </c>
      <c r="L581" s="1" t="str">
        <f>_xlfn.XLOOKUP(A581,satellite_programs!A:A,satellite_programs!N:N)</f>
        <v>Retired</v>
      </c>
    </row>
    <row r="582" spans="1:12" x14ac:dyDescent="0.5">
      <c r="A582" s="1" t="s">
        <v>61</v>
      </c>
      <c r="B582" s="1" t="s">
        <v>56</v>
      </c>
      <c r="C582" s="1" t="s">
        <v>62</v>
      </c>
      <c r="D582" s="1">
        <v>2017</v>
      </c>
      <c r="E582" s="1" t="s">
        <v>28</v>
      </c>
      <c r="F582" s="1">
        <v>0</v>
      </c>
      <c r="G582" s="1">
        <v>0</v>
      </c>
      <c r="H582" s="1">
        <v>37.4</v>
      </c>
      <c r="I582" s="1">
        <v>18.489999999999998</v>
      </c>
      <c r="J582" s="1">
        <v>0</v>
      </c>
      <c r="K582" s="1">
        <f t="shared" si="9"/>
        <v>55.89</v>
      </c>
      <c r="L582" s="1" t="str">
        <f>_xlfn.XLOOKUP(A582,satellite_programs!A:A,satellite_programs!N:N)</f>
        <v>Retired</v>
      </c>
    </row>
    <row r="583" spans="1:12" x14ac:dyDescent="0.5">
      <c r="A583" s="1" t="s">
        <v>61</v>
      </c>
      <c r="B583" s="1" t="s">
        <v>56</v>
      </c>
      <c r="C583" s="1" t="s">
        <v>62</v>
      </c>
      <c r="D583" s="1">
        <v>2018</v>
      </c>
      <c r="E583" s="1" t="s">
        <v>28</v>
      </c>
      <c r="F583" s="1">
        <v>0</v>
      </c>
      <c r="G583" s="1">
        <v>0</v>
      </c>
      <c r="H583" s="1">
        <v>37.4</v>
      </c>
      <c r="I583" s="1">
        <v>19</v>
      </c>
      <c r="J583" s="1">
        <v>0</v>
      </c>
      <c r="K583" s="1">
        <f t="shared" si="9"/>
        <v>56.4</v>
      </c>
      <c r="L583" s="1" t="str">
        <f>_xlfn.XLOOKUP(A583,satellite_programs!A:A,satellite_programs!N:N)</f>
        <v>Retired</v>
      </c>
    </row>
    <row r="584" spans="1:12" x14ac:dyDescent="0.5">
      <c r="A584" s="1" t="s">
        <v>61</v>
      </c>
      <c r="B584" s="1" t="s">
        <v>56</v>
      </c>
      <c r="C584" s="1" t="s">
        <v>62</v>
      </c>
      <c r="D584" s="1">
        <v>2019</v>
      </c>
      <c r="E584" s="1" t="s">
        <v>28</v>
      </c>
      <c r="F584" s="1">
        <v>0</v>
      </c>
      <c r="G584" s="1">
        <v>0</v>
      </c>
      <c r="H584" s="1">
        <v>37.4</v>
      </c>
      <c r="I584" s="1">
        <v>19.5</v>
      </c>
      <c r="J584" s="1">
        <v>0</v>
      </c>
      <c r="K584" s="1">
        <f t="shared" si="9"/>
        <v>56.9</v>
      </c>
      <c r="L584" s="1" t="str">
        <f>_xlfn.XLOOKUP(A584,satellite_programs!A:A,satellite_programs!N:N)</f>
        <v>Retired</v>
      </c>
    </row>
    <row r="585" spans="1:12" x14ac:dyDescent="0.5">
      <c r="A585" s="1" t="s">
        <v>61</v>
      </c>
      <c r="B585" s="1" t="s">
        <v>56</v>
      </c>
      <c r="C585" s="1" t="s">
        <v>62</v>
      </c>
      <c r="D585" s="1">
        <v>2020</v>
      </c>
      <c r="E585" s="1" t="s">
        <v>28</v>
      </c>
      <c r="F585" s="1">
        <v>0</v>
      </c>
      <c r="G585" s="1">
        <v>0</v>
      </c>
      <c r="H585" s="1">
        <v>37.4</v>
      </c>
      <c r="I585" s="1">
        <v>20.010000000000002</v>
      </c>
      <c r="J585" s="1">
        <v>0</v>
      </c>
      <c r="K585" s="1">
        <f t="shared" si="9"/>
        <v>57.41</v>
      </c>
      <c r="L585" s="1" t="str">
        <f>_xlfn.XLOOKUP(A585,satellite_programs!A:A,satellite_programs!N:N)</f>
        <v>Retired</v>
      </c>
    </row>
    <row r="586" spans="1:12" x14ac:dyDescent="0.5">
      <c r="A586" s="1" t="s">
        <v>61</v>
      </c>
      <c r="B586" s="1" t="s">
        <v>56</v>
      </c>
      <c r="C586" s="1" t="s">
        <v>62</v>
      </c>
      <c r="D586" s="1">
        <v>2021</v>
      </c>
      <c r="E586" s="1" t="s">
        <v>28</v>
      </c>
      <c r="F586" s="1">
        <v>0</v>
      </c>
      <c r="G586" s="1">
        <v>0</v>
      </c>
      <c r="H586" s="1">
        <v>37.4</v>
      </c>
      <c r="I586" s="1">
        <v>20.52</v>
      </c>
      <c r="J586" s="1">
        <v>0</v>
      </c>
      <c r="K586" s="1">
        <f t="shared" si="9"/>
        <v>57.92</v>
      </c>
      <c r="L586" s="1" t="str">
        <f>_xlfn.XLOOKUP(A586,satellite_programs!A:A,satellite_programs!N:N)</f>
        <v>Retired</v>
      </c>
    </row>
    <row r="587" spans="1:12" x14ac:dyDescent="0.5">
      <c r="A587" s="1" t="s">
        <v>61</v>
      </c>
      <c r="B587" s="1" t="s">
        <v>56</v>
      </c>
      <c r="C587" s="1" t="s">
        <v>62</v>
      </c>
      <c r="D587" s="1">
        <v>2023</v>
      </c>
      <c r="E587" s="1" t="s">
        <v>103</v>
      </c>
      <c r="F587" s="1">
        <v>0</v>
      </c>
      <c r="G587" s="1">
        <v>0</v>
      </c>
      <c r="H587" s="1">
        <v>0</v>
      </c>
      <c r="I587" s="1">
        <v>0</v>
      </c>
      <c r="J587" s="1">
        <v>15.3</v>
      </c>
      <c r="K587" s="1">
        <f t="shared" si="9"/>
        <v>15.3</v>
      </c>
      <c r="L587" s="1" t="str">
        <f>_xlfn.XLOOKUP(A587,satellite_programs!A:A,satellite_programs!N:N)</f>
        <v>Retired</v>
      </c>
    </row>
    <row r="588" spans="1:12" x14ac:dyDescent="0.5">
      <c r="A588" s="1" t="s">
        <v>63</v>
      </c>
      <c r="B588" s="1" t="s">
        <v>56</v>
      </c>
      <c r="C588" s="1" t="s">
        <v>62</v>
      </c>
      <c r="D588" s="1">
        <v>2011</v>
      </c>
      <c r="E588" s="1" t="s">
        <v>104</v>
      </c>
      <c r="F588" s="1">
        <v>5.86</v>
      </c>
      <c r="G588" s="1">
        <v>0</v>
      </c>
      <c r="H588" s="1">
        <v>0</v>
      </c>
      <c r="I588" s="1">
        <v>0</v>
      </c>
      <c r="J588" s="1">
        <v>0</v>
      </c>
      <c r="K588" s="1">
        <f t="shared" si="9"/>
        <v>5.86</v>
      </c>
      <c r="L588" s="1" t="str">
        <f>_xlfn.XLOOKUP(A588,satellite_programs!A:A,satellite_programs!N:N)</f>
        <v>Operations</v>
      </c>
    </row>
    <row r="589" spans="1:12" x14ac:dyDescent="0.5">
      <c r="A589" s="1" t="s">
        <v>63</v>
      </c>
      <c r="B589" s="1" t="s">
        <v>56</v>
      </c>
      <c r="C589" s="1" t="s">
        <v>62</v>
      </c>
      <c r="D589" s="1">
        <v>2012</v>
      </c>
      <c r="E589" s="1" t="s">
        <v>104</v>
      </c>
      <c r="F589" s="1">
        <v>11.72</v>
      </c>
      <c r="G589" s="1">
        <v>0</v>
      </c>
      <c r="H589" s="1">
        <v>0</v>
      </c>
      <c r="I589" s="1">
        <v>0</v>
      </c>
      <c r="J589" s="1">
        <v>0</v>
      </c>
      <c r="K589" s="1">
        <f t="shared" si="9"/>
        <v>11.72</v>
      </c>
      <c r="L589" s="1" t="str">
        <f>_xlfn.XLOOKUP(A589,satellite_programs!A:A,satellite_programs!N:N)</f>
        <v>Operations</v>
      </c>
    </row>
    <row r="590" spans="1:12" x14ac:dyDescent="0.5">
      <c r="A590" s="1" t="s">
        <v>63</v>
      </c>
      <c r="B590" s="1" t="s">
        <v>56</v>
      </c>
      <c r="C590" s="1" t="s">
        <v>62</v>
      </c>
      <c r="D590" s="1">
        <v>2013</v>
      </c>
      <c r="E590" s="1" t="s">
        <v>104</v>
      </c>
      <c r="F590" s="1">
        <v>21.09</v>
      </c>
      <c r="G590" s="1">
        <v>0</v>
      </c>
      <c r="H590" s="1">
        <v>0</v>
      </c>
      <c r="I590" s="1">
        <v>0</v>
      </c>
      <c r="J590" s="1">
        <v>0</v>
      </c>
      <c r="K590" s="1">
        <f t="shared" si="9"/>
        <v>21.09</v>
      </c>
      <c r="L590" s="1" t="str">
        <f>_xlfn.XLOOKUP(A590,satellite_programs!A:A,satellite_programs!N:N)</f>
        <v>Operations</v>
      </c>
    </row>
    <row r="591" spans="1:12" x14ac:dyDescent="0.5">
      <c r="A591" s="1" t="s">
        <v>63</v>
      </c>
      <c r="B591" s="1" t="s">
        <v>56</v>
      </c>
      <c r="C591" s="1" t="s">
        <v>62</v>
      </c>
      <c r="D591" s="1">
        <v>2014</v>
      </c>
      <c r="E591" s="1" t="s">
        <v>104</v>
      </c>
      <c r="F591" s="1">
        <v>25.78</v>
      </c>
      <c r="G591" s="1">
        <v>0</v>
      </c>
      <c r="H591" s="1">
        <v>0</v>
      </c>
      <c r="I591" s="1">
        <v>0</v>
      </c>
      <c r="J591" s="1">
        <v>0</v>
      </c>
      <c r="K591" s="1">
        <f t="shared" si="9"/>
        <v>25.78</v>
      </c>
      <c r="L591" s="1" t="str">
        <f>_xlfn.XLOOKUP(A591,satellite_programs!A:A,satellite_programs!N:N)</f>
        <v>Operations</v>
      </c>
    </row>
    <row r="592" spans="1:12" x14ac:dyDescent="0.5">
      <c r="A592" s="1" t="s">
        <v>63</v>
      </c>
      <c r="B592" s="1" t="s">
        <v>56</v>
      </c>
      <c r="C592" s="1" t="s">
        <v>62</v>
      </c>
      <c r="D592" s="1">
        <v>2015</v>
      </c>
      <c r="E592" s="1" t="s">
        <v>104</v>
      </c>
      <c r="F592" s="1">
        <v>23.44</v>
      </c>
      <c r="G592" s="1">
        <v>22.69</v>
      </c>
      <c r="H592" s="1">
        <v>0</v>
      </c>
      <c r="I592" s="1">
        <v>0</v>
      </c>
      <c r="J592" s="1">
        <v>0</v>
      </c>
      <c r="K592" s="1">
        <f t="shared" si="9"/>
        <v>46.13</v>
      </c>
      <c r="L592" s="1" t="str">
        <f>_xlfn.XLOOKUP(A592,satellite_programs!A:A,satellite_programs!N:N)</f>
        <v>Operations</v>
      </c>
    </row>
    <row r="593" spans="1:12" x14ac:dyDescent="0.5">
      <c r="A593" s="1" t="s">
        <v>63</v>
      </c>
      <c r="B593" s="1" t="s">
        <v>56</v>
      </c>
      <c r="C593" s="1" t="s">
        <v>62</v>
      </c>
      <c r="D593" s="1">
        <v>2016</v>
      </c>
      <c r="E593" s="1" t="s">
        <v>104</v>
      </c>
      <c r="F593" s="1">
        <v>15.24</v>
      </c>
      <c r="G593" s="1">
        <v>18.559999999999999</v>
      </c>
      <c r="H593" s="1">
        <v>0</v>
      </c>
      <c r="I593" s="1">
        <v>0</v>
      </c>
      <c r="J593" s="1">
        <v>0</v>
      </c>
      <c r="K593" s="1">
        <f t="shared" si="9"/>
        <v>33.799999999999997</v>
      </c>
      <c r="L593" s="1" t="str">
        <f>_xlfn.XLOOKUP(A593,satellite_programs!A:A,satellite_programs!N:N)</f>
        <v>Operations</v>
      </c>
    </row>
    <row r="594" spans="1:12" x14ac:dyDescent="0.5">
      <c r="A594" s="1" t="s">
        <v>63</v>
      </c>
      <c r="B594" s="1" t="s">
        <v>56</v>
      </c>
      <c r="C594" s="1" t="s">
        <v>62</v>
      </c>
      <c r="D594" s="1">
        <v>2017</v>
      </c>
      <c r="E594" s="1" t="s">
        <v>28</v>
      </c>
      <c r="F594" s="1">
        <v>0</v>
      </c>
      <c r="G594" s="1">
        <v>0</v>
      </c>
      <c r="H594" s="1">
        <v>39.479999999999997</v>
      </c>
      <c r="I594" s="1">
        <v>17.32</v>
      </c>
      <c r="J594" s="1">
        <v>0</v>
      </c>
      <c r="K594" s="1">
        <f t="shared" si="9"/>
        <v>56.8</v>
      </c>
      <c r="L594" s="1" t="str">
        <f>_xlfn.XLOOKUP(A594,satellite_programs!A:A,satellite_programs!N:N)</f>
        <v>Operations</v>
      </c>
    </row>
    <row r="595" spans="1:12" x14ac:dyDescent="0.5">
      <c r="A595" s="1" t="s">
        <v>63</v>
      </c>
      <c r="B595" s="1" t="s">
        <v>56</v>
      </c>
      <c r="C595" s="1" t="s">
        <v>62</v>
      </c>
      <c r="D595" s="1">
        <v>2018</v>
      </c>
      <c r="E595" s="1" t="s">
        <v>28</v>
      </c>
      <c r="F595" s="1">
        <v>0</v>
      </c>
      <c r="G595" s="1">
        <v>0</v>
      </c>
      <c r="H595" s="1">
        <v>39.479999999999997</v>
      </c>
      <c r="I595" s="1">
        <v>17.84</v>
      </c>
      <c r="J595" s="1">
        <v>0</v>
      </c>
      <c r="K595" s="1">
        <f t="shared" si="9"/>
        <v>57.319999999999993</v>
      </c>
      <c r="L595" s="1" t="str">
        <f>_xlfn.XLOOKUP(A595,satellite_programs!A:A,satellite_programs!N:N)</f>
        <v>Operations</v>
      </c>
    </row>
    <row r="596" spans="1:12" x14ac:dyDescent="0.5">
      <c r="A596" s="1" t="s">
        <v>63</v>
      </c>
      <c r="B596" s="1" t="s">
        <v>56</v>
      </c>
      <c r="C596" s="1" t="s">
        <v>62</v>
      </c>
      <c r="D596" s="1">
        <v>2019</v>
      </c>
      <c r="E596" s="1" t="s">
        <v>28</v>
      </c>
      <c r="F596" s="1">
        <v>0</v>
      </c>
      <c r="G596" s="1">
        <v>0</v>
      </c>
      <c r="H596" s="1">
        <v>39.479999999999997</v>
      </c>
      <c r="I596" s="1">
        <v>18.36</v>
      </c>
      <c r="J596" s="1">
        <v>0</v>
      </c>
      <c r="K596" s="1">
        <f t="shared" si="9"/>
        <v>57.839999999999996</v>
      </c>
      <c r="L596" s="1" t="str">
        <f>_xlfn.XLOOKUP(A596,satellite_programs!A:A,satellite_programs!N:N)</f>
        <v>Operations</v>
      </c>
    </row>
    <row r="597" spans="1:12" x14ac:dyDescent="0.5">
      <c r="A597" s="1" t="s">
        <v>63</v>
      </c>
      <c r="B597" s="1" t="s">
        <v>56</v>
      </c>
      <c r="C597" s="1" t="s">
        <v>62</v>
      </c>
      <c r="D597" s="1">
        <v>2020</v>
      </c>
      <c r="E597" s="1" t="s">
        <v>28</v>
      </c>
      <c r="F597" s="1">
        <v>0</v>
      </c>
      <c r="G597" s="1">
        <v>0</v>
      </c>
      <c r="H597" s="1">
        <v>39.479999999999997</v>
      </c>
      <c r="I597" s="1">
        <v>18.88</v>
      </c>
      <c r="J597" s="1">
        <v>0</v>
      </c>
      <c r="K597" s="1">
        <f t="shared" si="9"/>
        <v>58.36</v>
      </c>
      <c r="L597" s="1" t="str">
        <f>_xlfn.XLOOKUP(A597,satellite_programs!A:A,satellite_programs!N:N)</f>
        <v>Operations</v>
      </c>
    </row>
    <row r="598" spans="1:12" x14ac:dyDescent="0.5">
      <c r="A598" s="1" t="s">
        <v>63</v>
      </c>
      <c r="B598" s="1" t="s">
        <v>56</v>
      </c>
      <c r="C598" s="1" t="s">
        <v>62</v>
      </c>
      <c r="D598" s="1">
        <v>2021</v>
      </c>
      <c r="E598" s="1" t="s">
        <v>28</v>
      </c>
      <c r="F598" s="1">
        <v>0</v>
      </c>
      <c r="G598" s="1">
        <v>0</v>
      </c>
      <c r="H598" s="1">
        <v>39.479999999999997</v>
      </c>
      <c r="I598" s="1">
        <v>19.399999999999999</v>
      </c>
      <c r="J598" s="1">
        <v>0</v>
      </c>
      <c r="K598" s="1">
        <f t="shared" si="9"/>
        <v>58.879999999999995</v>
      </c>
      <c r="L598" s="1" t="str">
        <f>_xlfn.XLOOKUP(A598,satellite_programs!A:A,satellite_programs!N:N)</f>
        <v>Operations</v>
      </c>
    </row>
    <row r="599" spans="1:12" x14ac:dyDescent="0.5">
      <c r="A599" s="1" t="s">
        <v>63</v>
      </c>
      <c r="B599" s="1" t="s">
        <v>56</v>
      </c>
      <c r="C599" s="1" t="s">
        <v>62</v>
      </c>
      <c r="D599" s="1">
        <v>2022</v>
      </c>
      <c r="E599" s="1" t="s">
        <v>28</v>
      </c>
      <c r="F599" s="1">
        <v>0</v>
      </c>
      <c r="G599" s="1">
        <v>0</v>
      </c>
      <c r="H599" s="1">
        <v>39.479999999999997</v>
      </c>
      <c r="I599" s="1">
        <v>19.920000000000002</v>
      </c>
      <c r="J599" s="1">
        <v>0</v>
      </c>
      <c r="K599" s="1">
        <f t="shared" si="9"/>
        <v>59.4</v>
      </c>
      <c r="L599" s="1" t="str">
        <f>_xlfn.XLOOKUP(A599,satellite_programs!A:A,satellite_programs!N:N)</f>
        <v>Operations</v>
      </c>
    </row>
    <row r="600" spans="1:12" x14ac:dyDescent="0.5">
      <c r="A600" s="1" t="s">
        <v>63</v>
      </c>
      <c r="B600" s="1" t="s">
        <v>56</v>
      </c>
      <c r="C600" s="1" t="s">
        <v>62</v>
      </c>
      <c r="D600" s="1">
        <v>2023</v>
      </c>
      <c r="E600" s="1" t="s">
        <v>28</v>
      </c>
      <c r="F600" s="1">
        <v>0</v>
      </c>
      <c r="G600" s="1">
        <v>0</v>
      </c>
      <c r="H600" s="1">
        <v>39.479999999999997</v>
      </c>
      <c r="I600" s="1">
        <v>20.440000000000001</v>
      </c>
      <c r="J600" s="1">
        <v>0</v>
      </c>
      <c r="K600" s="1">
        <f t="shared" si="9"/>
        <v>59.92</v>
      </c>
      <c r="L600" s="1" t="str">
        <f>_xlfn.XLOOKUP(A600,satellite_programs!A:A,satellite_programs!N:N)</f>
        <v>Operations</v>
      </c>
    </row>
    <row r="601" spans="1:12" x14ac:dyDescent="0.5">
      <c r="A601" s="1" t="s">
        <v>63</v>
      </c>
      <c r="B601" s="1" t="s">
        <v>56</v>
      </c>
      <c r="C601" s="1" t="s">
        <v>62</v>
      </c>
      <c r="D601" s="1">
        <v>2024</v>
      </c>
      <c r="E601" s="1" t="s">
        <v>28</v>
      </c>
      <c r="F601" s="1">
        <v>0</v>
      </c>
      <c r="G601" s="1">
        <v>0</v>
      </c>
      <c r="H601" s="1">
        <v>39.479999999999997</v>
      </c>
      <c r="I601" s="1">
        <v>20.96</v>
      </c>
      <c r="J601" s="1">
        <v>0</v>
      </c>
      <c r="K601" s="1">
        <f t="shared" si="9"/>
        <v>60.44</v>
      </c>
      <c r="L601" s="1" t="str">
        <f>_xlfn.XLOOKUP(A601,satellite_programs!A:A,satellite_programs!N:N)</f>
        <v>Operations</v>
      </c>
    </row>
    <row r="602" spans="1:12" x14ac:dyDescent="0.5">
      <c r="A602" s="1" t="s">
        <v>63</v>
      </c>
      <c r="B602" s="1" t="s">
        <v>56</v>
      </c>
      <c r="C602" s="1" t="s">
        <v>62</v>
      </c>
      <c r="D602" s="1">
        <v>2026</v>
      </c>
      <c r="E602" s="1" t="s">
        <v>103</v>
      </c>
      <c r="F602" s="1">
        <v>0</v>
      </c>
      <c r="G602" s="1">
        <v>0</v>
      </c>
      <c r="H602" s="1">
        <v>0</v>
      </c>
      <c r="I602" s="1">
        <v>0</v>
      </c>
      <c r="J602" s="1">
        <v>15.44</v>
      </c>
      <c r="K602" s="1">
        <f t="shared" si="9"/>
        <v>15.44</v>
      </c>
      <c r="L602" s="1" t="str">
        <f>_xlfn.XLOOKUP(A602,satellite_programs!A:A,satellite_programs!N:N)</f>
        <v>Operations</v>
      </c>
    </row>
    <row r="603" spans="1:12" x14ac:dyDescent="0.5">
      <c r="A603" s="1" t="s">
        <v>64</v>
      </c>
      <c r="B603" s="1" t="s">
        <v>56</v>
      </c>
      <c r="C603" s="1" t="s">
        <v>62</v>
      </c>
      <c r="D603" s="1">
        <v>2014</v>
      </c>
      <c r="E603" s="1" t="s">
        <v>104</v>
      </c>
      <c r="F603" s="1">
        <v>6.91</v>
      </c>
      <c r="G603" s="1">
        <v>0</v>
      </c>
      <c r="H603" s="1">
        <v>0</v>
      </c>
      <c r="I603" s="1">
        <v>0</v>
      </c>
      <c r="J603" s="1">
        <v>0</v>
      </c>
      <c r="K603" s="1">
        <f t="shared" si="9"/>
        <v>6.91</v>
      </c>
      <c r="L603" s="1" t="str">
        <f>_xlfn.XLOOKUP(A603,satellite_programs!A:A,satellite_programs!N:N)</f>
        <v>Operations</v>
      </c>
    </row>
    <row r="604" spans="1:12" x14ac:dyDescent="0.5">
      <c r="A604" s="1" t="s">
        <v>64</v>
      </c>
      <c r="B604" s="1" t="s">
        <v>56</v>
      </c>
      <c r="C604" s="1" t="s">
        <v>62</v>
      </c>
      <c r="D604" s="1">
        <v>2015</v>
      </c>
      <c r="E604" s="1" t="s">
        <v>104</v>
      </c>
      <c r="F604" s="1">
        <v>13.82</v>
      </c>
      <c r="G604" s="1">
        <v>0</v>
      </c>
      <c r="H604" s="1">
        <v>0</v>
      </c>
      <c r="I604" s="1">
        <v>0</v>
      </c>
      <c r="J604" s="1">
        <v>0</v>
      </c>
      <c r="K604" s="1">
        <f t="shared" si="9"/>
        <v>13.82</v>
      </c>
      <c r="L604" s="1" t="str">
        <f>_xlfn.XLOOKUP(A604,satellite_programs!A:A,satellite_programs!N:N)</f>
        <v>Operations</v>
      </c>
    </row>
    <row r="605" spans="1:12" x14ac:dyDescent="0.5">
      <c r="A605" s="1" t="s">
        <v>64</v>
      </c>
      <c r="B605" s="1" t="s">
        <v>56</v>
      </c>
      <c r="C605" s="1" t="s">
        <v>62</v>
      </c>
      <c r="D605" s="1">
        <v>2016</v>
      </c>
      <c r="E605" s="1" t="s">
        <v>104</v>
      </c>
      <c r="F605" s="1">
        <v>24.87</v>
      </c>
      <c r="G605" s="1">
        <v>0</v>
      </c>
      <c r="H605" s="1">
        <v>0</v>
      </c>
      <c r="I605" s="1">
        <v>0</v>
      </c>
      <c r="J605" s="1">
        <v>0</v>
      </c>
      <c r="K605" s="1">
        <f t="shared" si="9"/>
        <v>24.87</v>
      </c>
      <c r="L605" s="1" t="str">
        <f>_xlfn.XLOOKUP(A605,satellite_programs!A:A,satellite_programs!N:N)</f>
        <v>Operations</v>
      </c>
    </row>
    <row r="606" spans="1:12" x14ac:dyDescent="0.5">
      <c r="A606" s="1" t="s">
        <v>64</v>
      </c>
      <c r="B606" s="1" t="s">
        <v>56</v>
      </c>
      <c r="C606" s="1" t="s">
        <v>62</v>
      </c>
      <c r="D606" s="1">
        <v>2017</v>
      </c>
      <c r="E606" s="1" t="s">
        <v>104</v>
      </c>
      <c r="F606" s="1">
        <v>30.39</v>
      </c>
      <c r="G606" s="1">
        <v>0</v>
      </c>
      <c r="H606" s="1">
        <v>0</v>
      </c>
      <c r="I606" s="1">
        <v>0</v>
      </c>
      <c r="J606" s="1">
        <v>0</v>
      </c>
      <c r="K606" s="1">
        <f t="shared" si="9"/>
        <v>30.39</v>
      </c>
      <c r="L606" s="1" t="str">
        <f>_xlfn.XLOOKUP(A606,satellite_programs!A:A,satellite_programs!N:N)</f>
        <v>Operations</v>
      </c>
    </row>
    <row r="607" spans="1:12" x14ac:dyDescent="0.5">
      <c r="A607" s="1" t="s">
        <v>64</v>
      </c>
      <c r="B607" s="1" t="s">
        <v>56</v>
      </c>
      <c r="C607" s="1" t="s">
        <v>62</v>
      </c>
      <c r="D607" s="1">
        <v>2018</v>
      </c>
      <c r="E607" s="1" t="s">
        <v>104</v>
      </c>
      <c r="F607" s="1">
        <v>27.63</v>
      </c>
      <c r="G607" s="1">
        <v>26.75</v>
      </c>
      <c r="H607" s="1">
        <v>0</v>
      </c>
      <c r="I607" s="1">
        <v>0</v>
      </c>
      <c r="J607" s="1">
        <v>0</v>
      </c>
      <c r="K607" s="1">
        <f t="shared" si="9"/>
        <v>54.379999999999995</v>
      </c>
      <c r="L607" s="1" t="str">
        <f>_xlfn.XLOOKUP(A607,satellite_programs!A:A,satellite_programs!N:N)</f>
        <v>Operations</v>
      </c>
    </row>
    <row r="608" spans="1:12" x14ac:dyDescent="0.5">
      <c r="A608" s="1" t="s">
        <v>64</v>
      </c>
      <c r="B608" s="1" t="s">
        <v>56</v>
      </c>
      <c r="C608" s="1" t="s">
        <v>62</v>
      </c>
      <c r="D608" s="1">
        <v>2019</v>
      </c>
      <c r="E608" s="1" t="s">
        <v>104</v>
      </c>
      <c r="F608" s="1">
        <v>17.96</v>
      </c>
      <c r="G608" s="1">
        <v>21.88</v>
      </c>
      <c r="H608" s="1">
        <v>0</v>
      </c>
      <c r="I608" s="1">
        <v>0</v>
      </c>
      <c r="J608" s="1">
        <v>0</v>
      </c>
      <c r="K608" s="1">
        <f t="shared" si="9"/>
        <v>39.840000000000003</v>
      </c>
      <c r="L608" s="1" t="str">
        <f>_xlfn.XLOOKUP(A608,satellite_programs!A:A,satellite_programs!N:N)</f>
        <v>Operations</v>
      </c>
    </row>
    <row r="609" spans="1:12" x14ac:dyDescent="0.5">
      <c r="A609" s="1" t="s">
        <v>64</v>
      </c>
      <c r="B609" s="1" t="s">
        <v>56</v>
      </c>
      <c r="C609" s="1" t="s">
        <v>62</v>
      </c>
      <c r="D609" s="1">
        <v>2020</v>
      </c>
      <c r="E609" s="1" t="s">
        <v>28</v>
      </c>
      <c r="F609" s="1">
        <v>0</v>
      </c>
      <c r="G609" s="1">
        <v>0</v>
      </c>
      <c r="H609" s="1">
        <v>41.64</v>
      </c>
      <c r="I609" s="1">
        <v>17.8</v>
      </c>
      <c r="J609" s="1">
        <v>0</v>
      </c>
      <c r="K609" s="1">
        <f t="shared" si="9"/>
        <v>59.44</v>
      </c>
      <c r="L609" s="1" t="str">
        <f>_xlfn.XLOOKUP(A609,satellite_programs!A:A,satellite_programs!N:N)</f>
        <v>Operations</v>
      </c>
    </row>
    <row r="610" spans="1:12" x14ac:dyDescent="0.5">
      <c r="A610" s="1" t="s">
        <v>64</v>
      </c>
      <c r="B610" s="1" t="s">
        <v>56</v>
      </c>
      <c r="C610" s="1" t="s">
        <v>62</v>
      </c>
      <c r="D610" s="1">
        <v>2021</v>
      </c>
      <c r="E610" s="1" t="s">
        <v>28</v>
      </c>
      <c r="F610" s="1">
        <v>0</v>
      </c>
      <c r="G610" s="1">
        <v>0</v>
      </c>
      <c r="H610" s="1">
        <v>41.64</v>
      </c>
      <c r="I610" s="1">
        <v>18.329999999999998</v>
      </c>
      <c r="J610" s="1">
        <v>0</v>
      </c>
      <c r="K610" s="1">
        <f t="shared" si="9"/>
        <v>59.97</v>
      </c>
      <c r="L610" s="1" t="str">
        <f>_xlfn.XLOOKUP(A610,satellite_programs!A:A,satellite_programs!N:N)</f>
        <v>Operations</v>
      </c>
    </row>
    <row r="611" spans="1:12" x14ac:dyDescent="0.5">
      <c r="A611" s="1" t="s">
        <v>64</v>
      </c>
      <c r="B611" s="1" t="s">
        <v>56</v>
      </c>
      <c r="C611" s="1" t="s">
        <v>62</v>
      </c>
      <c r="D611" s="1">
        <v>2022</v>
      </c>
      <c r="E611" s="1" t="s">
        <v>28</v>
      </c>
      <c r="F611" s="1">
        <v>0</v>
      </c>
      <c r="G611" s="1">
        <v>0</v>
      </c>
      <c r="H611" s="1">
        <v>41.64</v>
      </c>
      <c r="I611" s="1">
        <v>18.87</v>
      </c>
      <c r="J611" s="1">
        <v>0</v>
      </c>
      <c r="K611" s="1">
        <f t="shared" si="9"/>
        <v>60.510000000000005</v>
      </c>
      <c r="L611" s="1" t="str">
        <f>_xlfn.XLOOKUP(A611,satellite_programs!A:A,satellite_programs!N:N)</f>
        <v>Operations</v>
      </c>
    </row>
    <row r="612" spans="1:12" x14ac:dyDescent="0.5">
      <c r="A612" s="1" t="s">
        <v>64</v>
      </c>
      <c r="B612" s="1" t="s">
        <v>56</v>
      </c>
      <c r="C612" s="1" t="s">
        <v>62</v>
      </c>
      <c r="D612" s="1">
        <v>2023</v>
      </c>
      <c r="E612" s="1" t="s">
        <v>28</v>
      </c>
      <c r="F612" s="1">
        <v>0</v>
      </c>
      <c r="G612" s="1">
        <v>0</v>
      </c>
      <c r="H612" s="1">
        <v>41.64</v>
      </c>
      <c r="I612" s="1">
        <v>19.399999999999999</v>
      </c>
      <c r="J612" s="1">
        <v>0</v>
      </c>
      <c r="K612" s="1">
        <f t="shared" si="9"/>
        <v>61.04</v>
      </c>
      <c r="L612" s="1" t="str">
        <f>_xlfn.XLOOKUP(A612,satellite_programs!A:A,satellite_programs!N:N)</f>
        <v>Operations</v>
      </c>
    </row>
    <row r="613" spans="1:12" x14ac:dyDescent="0.5">
      <c r="A613" s="1" t="s">
        <v>64</v>
      </c>
      <c r="B613" s="1" t="s">
        <v>56</v>
      </c>
      <c r="C613" s="1" t="s">
        <v>62</v>
      </c>
      <c r="D613" s="1">
        <v>2024</v>
      </c>
      <c r="E613" s="1" t="s">
        <v>28</v>
      </c>
      <c r="F613" s="1">
        <v>0</v>
      </c>
      <c r="G613" s="1">
        <v>0</v>
      </c>
      <c r="H613" s="1">
        <v>41.64</v>
      </c>
      <c r="I613" s="1">
        <v>19.940000000000001</v>
      </c>
      <c r="J613" s="1">
        <v>0</v>
      </c>
      <c r="K613" s="1">
        <f t="shared" si="9"/>
        <v>61.58</v>
      </c>
      <c r="L613" s="1" t="str">
        <f>_xlfn.XLOOKUP(A613,satellite_programs!A:A,satellite_programs!N:N)</f>
        <v>Operations</v>
      </c>
    </row>
    <row r="614" spans="1:12" x14ac:dyDescent="0.5">
      <c r="A614" s="1" t="s">
        <v>64</v>
      </c>
      <c r="B614" s="1" t="s">
        <v>56</v>
      </c>
      <c r="C614" s="1" t="s">
        <v>62</v>
      </c>
      <c r="D614" s="1">
        <v>2025</v>
      </c>
      <c r="E614" s="1" t="s">
        <v>28</v>
      </c>
      <c r="F614" s="1">
        <v>0</v>
      </c>
      <c r="G614" s="1">
        <v>0</v>
      </c>
      <c r="H614" s="1">
        <v>41.64</v>
      </c>
      <c r="I614" s="1">
        <v>20.47</v>
      </c>
      <c r="J614" s="1">
        <v>0</v>
      </c>
      <c r="K614" s="1">
        <f t="shared" si="9"/>
        <v>62.11</v>
      </c>
      <c r="L614" s="1" t="str">
        <f>_xlfn.XLOOKUP(A614,satellite_programs!A:A,satellite_programs!N:N)</f>
        <v>Operations</v>
      </c>
    </row>
    <row r="615" spans="1:12" x14ac:dyDescent="0.5">
      <c r="A615" s="1" t="s">
        <v>64</v>
      </c>
      <c r="B615" s="1" t="s">
        <v>56</v>
      </c>
      <c r="C615" s="1" t="s">
        <v>62</v>
      </c>
      <c r="D615" s="1">
        <v>2026</v>
      </c>
      <c r="E615" s="1" t="s">
        <v>28</v>
      </c>
      <c r="F615" s="1">
        <v>0</v>
      </c>
      <c r="G615" s="1">
        <v>0</v>
      </c>
      <c r="H615" s="1">
        <v>41.64</v>
      </c>
      <c r="I615" s="1">
        <v>21</v>
      </c>
      <c r="J615" s="1">
        <v>0</v>
      </c>
      <c r="K615" s="1">
        <f t="shared" si="9"/>
        <v>62.64</v>
      </c>
      <c r="L615" s="1" t="str">
        <f>_xlfn.XLOOKUP(A615,satellite_programs!A:A,satellite_programs!N:N)</f>
        <v>Operations</v>
      </c>
    </row>
    <row r="616" spans="1:12" x14ac:dyDescent="0.5">
      <c r="A616" s="1" t="s">
        <v>64</v>
      </c>
      <c r="B616" s="1" t="s">
        <v>56</v>
      </c>
      <c r="C616" s="1" t="s">
        <v>62</v>
      </c>
      <c r="D616" s="1">
        <v>2027</v>
      </c>
      <c r="E616" s="1" t="s">
        <v>28</v>
      </c>
      <c r="F616" s="1">
        <v>0</v>
      </c>
      <c r="G616" s="1">
        <v>0</v>
      </c>
      <c r="H616" s="1">
        <v>41.64</v>
      </c>
      <c r="I616" s="1">
        <v>21.54</v>
      </c>
      <c r="J616" s="1">
        <v>0</v>
      </c>
      <c r="K616" s="1">
        <f t="shared" si="9"/>
        <v>63.18</v>
      </c>
      <c r="L616" s="1" t="str">
        <f>_xlfn.XLOOKUP(A616,satellite_programs!A:A,satellite_programs!N:N)</f>
        <v>Operations</v>
      </c>
    </row>
    <row r="617" spans="1:12" x14ac:dyDescent="0.5">
      <c r="A617" s="1" t="s">
        <v>64</v>
      </c>
      <c r="B617" s="1" t="s">
        <v>56</v>
      </c>
      <c r="C617" s="1" t="s">
        <v>62</v>
      </c>
      <c r="D617" s="1">
        <v>2028</v>
      </c>
      <c r="E617" s="1" t="s">
        <v>28</v>
      </c>
      <c r="F617" s="1">
        <v>0</v>
      </c>
      <c r="G617" s="1">
        <v>0</v>
      </c>
      <c r="H617" s="1">
        <v>41.64</v>
      </c>
      <c r="I617" s="1">
        <v>22.07</v>
      </c>
      <c r="J617" s="1">
        <v>0</v>
      </c>
      <c r="K617" s="1">
        <f t="shared" si="9"/>
        <v>63.71</v>
      </c>
      <c r="L617" s="1" t="str">
        <f>_xlfn.XLOOKUP(A617,satellite_programs!A:A,satellite_programs!N:N)</f>
        <v>Operations</v>
      </c>
    </row>
    <row r="618" spans="1:12" x14ac:dyDescent="0.5">
      <c r="A618" s="1" t="s">
        <v>64</v>
      </c>
      <c r="B618" s="1" t="s">
        <v>56</v>
      </c>
      <c r="C618" s="1" t="s">
        <v>62</v>
      </c>
      <c r="D618" s="1">
        <v>2029</v>
      </c>
      <c r="E618" s="1" t="s">
        <v>28</v>
      </c>
      <c r="F618" s="1">
        <v>0</v>
      </c>
      <c r="G618" s="1">
        <v>0</v>
      </c>
      <c r="H618" s="1">
        <v>41.64</v>
      </c>
      <c r="I618" s="1">
        <v>22.61</v>
      </c>
      <c r="J618" s="1">
        <v>0</v>
      </c>
      <c r="K618" s="1">
        <f t="shared" si="9"/>
        <v>64.25</v>
      </c>
      <c r="L618" s="1" t="str">
        <f>_xlfn.XLOOKUP(A618,satellite_programs!A:A,satellite_programs!N:N)</f>
        <v>Operations</v>
      </c>
    </row>
    <row r="619" spans="1:12" x14ac:dyDescent="0.5">
      <c r="A619" s="1" t="s">
        <v>64</v>
      </c>
      <c r="B619" s="1" t="s">
        <v>56</v>
      </c>
      <c r="C619" s="1" t="s">
        <v>62</v>
      </c>
      <c r="D619" s="1">
        <v>2031</v>
      </c>
      <c r="E619" s="1" t="s">
        <v>103</v>
      </c>
      <c r="F619" s="1">
        <v>0</v>
      </c>
      <c r="G619" s="1">
        <v>0</v>
      </c>
      <c r="H619" s="1">
        <v>0</v>
      </c>
      <c r="I619" s="1">
        <v>0</v>
      </c>
      <c r="J619" s="1">
        <v>15.62</v>
      </c>
      <c r="K619" s="1">
        <f t="shared" si="9"/>
        <v>15.62</v>
      </c>
      <c r="L619" s="1" t="str">
        <f>_xlfn.XLOOKUP(A619,satellite_programs!A:A,satellite_programs!N:N)</f>
        <v>Operations</v>
      </c>
    </row>
    <row r="620" spans="1:12" x14ac:dyDescent="0.5">
      <c r="A620" s="1" t="s">
        <v>65</v>
      </c>
      <c r="B620" s="1" t="s">
        <v>56</v>
      </c>
      <c r="C620" s="1" t="s">
        <v>62</v>
      </c>
      <c r="D620" s="1">
        <v>2017</v>
      </c>
      <c r="E620" s="1" t="s">
        <v>104</v>
      </c>
      <c r="F620" s="1">
        <v>7.23</v>
      </c>
      <c r="G620" s="1">
        <v>0</v>
      </c>
      <c r="H620" s="1">
        <v>0</v>
      </c>
      <c r="I620" s="1">
        <v>0</v>
      </c>
      <c r="J620" s="1">
        <v>0</v>
      </c>
      <c r="K620" s="1">
        <f t="shared" si="9"/>
        <v>7.23</v>
      </c>
      <c r="L620" s="1" t="str">
        <f>_xlfn.XLOOKUP(A620,satellite_programs!A:A,satellite_programs!N:N)</f>
        <v>Operations</v>
      </c>
    </row>
    <row r="621" spans="1:12" x14ac:dyDescent="0.5">
      <c r="A621" s="1" t="s">
        <v>65</v>
      </c>
      <c r="B621" s="1" t="s">
        <v>56</v>
      </c>
      <c r="C621" s="1" t="s">
        <v>62</v>
      </c>
      <c r="D621" s="1">
        <v>2018</v>
      </c>
      <c r="E621" s="1" t="s">
        <v>104</v>
      </c>
      <c r="F621" s="1">
        <v>14.46</v>
      </c>
      <c r="G621" s="1">
        <v>0</v>
      </c>
      <c r="H621" s="1">
        <v>0</v>
      </c>
      <c r="I621" s="1">
        <v>0</v>
      </c>
      <c r="J621" s="1">
        <v>0</v>
      </c>
      <c r="K621" s="1">
        <f t="shared" si="9"/>
        <v>14.46</v>
      </c>
      <c r="L621" s="1" t="str">
        <f>_xlfn.XLOOKUP(A621,satellite_programs!A:A,satellite_programs!N:N)</f>
        <v>Operations</v>
      </c>
    </row>
    <row r="622" spans="1:12" x14ac:dyDescent="0.5">
      <c r="A622" s="1" t="s">
        <v>65</v>
      </c>
      <c r="B622" s="1" t="s">
        <v>56</v>
      </c>
      <c r="C622" s="1" t="s">
        <v>62</v>
      </c>
      <c r="D622" s="1">
        <v>2019</v>
      </c>
      <c r="E622" s="1" t="s">
        <v>104</v>
      </c>
      <c r="F622" s="1">
        <v>26.03</v>
      </c>
      <c r="G622" s="1">
        <v>0</v>
      </c>
      <c r="H622" s="1">
        <v>0</v>
      </c>
      <c r="I622" s="1">
        <v>0</v>
      </c>
      <c r="J622" s="1">
        <v>0</v>
      </c>
      <c r="K622" s="1">
        <f t="shared" si="9"/>
        <v>26.03</v>
      </c>
      <c r="L622" s="1" t="str">
        <f>_xlfn.XLOOKUP(A622,satellite_programs!A:A,satellite_programs!N:N)</f>
        <v>Operations</v>
      </c>
    </row>
    <row r="623" spans="1:12" x14ac:dyDescent="0.5">
      <c r="A623" s="1" t="s">
        <v>65</v>
      </c>
      <c r="B623" s="1" t="s">
        <v>56</v>
      </c>
      <c r="C623" s="1" t="s">
        <v>62</v>
      </c>
      <c r="D623" s="1">
        <v>2020</v>
      </c>
      <c r="E623" s="1" t="s">
        <v>104</v>
      </c>
      <c r="F623" s="1">
        <v>31.82</v>
      </c>
      <c r="G623" s="1">
        <v>0</v>
      </c>
      <c r="H623" s="1">
        <v>0</v>
      </c>
      <c r="I623" s="1">
        <v>0</v>
      </c>
      <c r="J623" s="1">
        <v>0</v>
      </c>
      <c r="K623" s="1">
        <f t="shared" si="9"/>
        <v>31.82</v>
      </c>
      <c r="L623" s="1" t="str">
        <f>_xlfn.XLOOKUP(A623,satellite_programs!A:A,satellite_programs!N:N)</f>
        <v>Operations</v>
      </c>
    </row>
    <row r="624" spans="1:12" x14ac:dyDescent="0.5">
      <c r="A624" s="1" t="s">
        <v>65</v>
      </c>
      <c r="B624" s="1" t="s">
        <v>56</v>
      </c>
      <c r="C624" s="1" t="s">
        <v>62</v>
      </c>
      <c r="D624" s="1">
        <v>2021</v>
      </c>
      <c r="E624" s="1" t="s">
        <v>104</v>
      </c>
      <c r="F624" s="1">
        <v>28.93</v>
      </c>
      <c r="G624" s="1">
        <v>28</v>
      </c>
      <c r="H624" s="1">
        <v>0</v>
      </c>
      <c r="I624" s="1">
        <v>0</v>
      </c>
      <c r="J624" s="1">
        <v>0</v>
      </c>
      <c r="K624" s="1">
        <f t="shared" si="9"/>
        <v>56.93</v>
      </c>
      <c r="L624" s="1" t="str">
        <f>_xlfn.XLOOKUP(A624,satellite_programs!A:A,satellite_programs!N:N)</f>
        <v>Operations</v>
      </c>
    </row>
    <row r="625" spans="1:12" x14ac:dyDescent="0.5">
      <c r="A625" s="1" t="s">
        <v>65</v>
      </c>
      <c r="B625" s="1" t="s">
        <v>56</v>
      </c>
      <c r="C625" s="1" t="s">
        <v>62</v>
      </c>
      <c r="D625" s="1">
        <v>2022</v>
      </c>
      <c r="E625" s="1" t="s">
        <v>104</v>
      </c>
      <c r="F625" s="1">
        <v>18.8</v>
      </c>
      <c r="G625" s="1">
        <v>22.91</v>
      </c>
      <c r="H625" s="1">
        <v>0</v>
      </c>
      <c r="I625" s="1">
        <v>0</v>
      </c>
      <c r="J625" s="1">
        <v>0</v>
      </c>
      <c r="K625" s="1">
        <f t="shared" si="9"/>
        <v>41.71</v>
      </c>
      <c r="L625" s="1" t="str">
        <f>_xlfn.XLOOKUP(A625,satellite_programs!A:A,satellite_programs!N:N)</f>
        <v>Operations</v>
      </c>
    </row>
    <row r="626" spans="1:12" x14ac:dyDescent="0.5">
      <c r="A626" s="1" t="s">
        <v>65</v>
      </c>
      <c r="B626" s="1" t="s">
        <v>56</v>
      </c>
      <c r="C626" s="1" t="s">
        <v>62</v>
      </c>
      <c r="D626" s="1">
        <v>2023</v>
      </c>
      <c r="E626" s="1" t="s">
        <v>28</v>
      </c>
      <c r="F626" s="1">
        <v>0</v>
      </c>
      <c r="G626" s="1">
        <v>0</v>
      </c>
      <c r="H626" s="1">
        <v>42.04</v>
      </c>
      <c r="I626" s="1">
        <v>18.28</v>
      </c>
      <c r="J626" s="1">
        <v>0</v>
      </c>
      <c r="K626" s="1">
        <f t="shared" si="9"/>
        <v>60.32</v>
      </c>
      <c r="L626" s="1" t="str">
        <f>_xlfn.XLOOKUP(A626,satellite_programs!A:A,satellite_programs!N:N)</f>
        <v>Operations</v>
      </c>
    </row>
    <row r="627" spans="1:12" x14ac:dyDescent="0.5">
      <c r="A627" s="1" t="s">
        <v>65</v>
      </c>
      <c r="B627" s="1" t="s">
        <v>56</v>
      </c>
      <c r="C627" s="1" t="s">
        <v>62</v>
      </c>
      <c r="D627" s="1">
        <v>2024</v>
      </c>
      <c r="E627" s="1" t="s">
        <v>28</v>
      </c>
      <c r="F627" s="1">
        <v>0</v>
      </c>
      <c r="G627" s="1">
        <v>0</v>
      </c>
      <c r="H627" s="1">
        <v>42.04</v>
      </c>
      <c r="I627" s="1">
        <v>18.829999999999998</v>
      </c>
      <c r="J627" s="1">
        <v>0</v>
      </c>
      <c r="K627" s="1">
        <f t="shared" si="9"/>
        <v>60.87</v>
      </c>
      <c r="L627" s="1" t="str">
        <f>_xlfn.XLOOKUP(A627,satellite_programs!A:A,satellite_programs!N:N)</f>
        <v>Operations</v>
      </c>
    </row>
    <row r="628" spans="1:12" x14ac:dyDescent="0.5">
      <c r="A628" s="1" t="s">
        <v>65</v>
      </c>
      <c r="B628" s="1" t="s">
        <v>56</v>
      </c>
      <c r="C628" s="1" t="s">
        <v>62</v>
      </c>
      <c r="D628" s="1">
        <v>2025</v>
      </c>
      <c r="E628" s="1" t="s">
        <v>28</v>
      </c>
      <c r="F628" s="1">
        <v>0</v>
      </c>
      <c r="G628" s="1">
        <v>0</v>
      </c>
      <c r="H628" s="1">
        <v>42.04</v>
      </c>
      <c r="I628" s="1">
        <v>19.38</v>
      </c>
      <c r="J628" s="1">
        <v>0</v>
      </c>
      <c r="K628" s="1">
        <f t="shared" si="9"/>
        <v>61.42</v>
      </c>
      <c r="L628" s="1" t="str">
        <f>_xlfn.XLOOKUP(A628,satellite_programs!A:A,satellite_programs!N:N)</f>
        <v>Operations</v>
      </c>
    </row>
    <row r="629" spans="1:12" x14ac:dyDescent="0.5">
      <c r="A629" s="1" t="s">
        <v>65</v>
      </c>
      <c r="B629" s="1" t="s">
        <v>56</v>
      </c>
      <c r="C629" s="1" t="s">
        <v>62</v>
      </c>
      <c r="D629" s="1">
        <v>2026</v>
      </c>
      <c r="E629" s="1" t="s">
        <v>28</v>
      </c>
      <c r="F629" s="1">
        <v>0</v>
      </c>
      <c r="G629" s="1">
        <v>0</v>
      </c>
      <c r="H629" s="1">
        <v>42.04</v>
      </c>
      <c r="I629" s="1">
        <v>19.93</v>
      </c>
      <c r="J629" s="1">
        <v>0</v>
      </c>
      <c r="K629" s="1">
        <f t="shared" si="9"/>
        <v>61.97</v>
      </c>
      <c r="L629" s="1" t="str">
        <f>_xlfn.XLOOKUP(A629,satellite_programs!A:A,satellite_programs!N:N)</f>
        <v>Operations</v>
      </c>
    </row>
    <row r="630" spans="1:12" x14ac:dyDescent="0.5">
      <c r="A630" s="1" t="s">
        <v>65</v>
      </c>
      <c r="B630" s="1" t="s">
        <v>56</v>
      </c>
      <c r="C630" s="1" t="s">
        <v>62</v>
      </c>
      <c r="D630" s="1">
        <v>2027</v>
      </c>
      <c r="E630" s="1" t="s">
        <v>28</v>
      </c>
      <c r="F630" s="1">
        <v>0</v>
      </c>
      <c r="G630" s="1">
        <v>0</v>
      </c>
      <c r="H630" s="1">
        <v>42.04</v>
      </c>
      <c r="I630" s="1">
        <v>20.47</v>
      </c>
      <c r="J630" s="1">
        <v>0</v>
      </c>
      <c r="K630" s="1">
        <f t="shared" si="9"/>
        <v>62.51</v>
      </c>
      <c r="L630" s="1" t="str">
        <f>_xlfn.XLOOKUP(A630,satellite_programs!A:A,satellite_programs!N:N)</f>
        <v>Operations</v>
      </c>
    </row>
    <row r="631" spans="1:12" x14ac:dyDescent="0.5">
      <c r="A631" s="1" t="s">
        <v>65</v>
      </c>
      <c r="B631" s="1" t="s">
        <v>56</v>
      </c>
      <c r="C631" s="1" t="s">
        <v>62</v>
      </c>
      <c r="D631" s="1">
        <v>2028</v>
      </c>
      <c r="E631" s="1" t="s">
        <v>28</v>
      </c>
      <c r="F631" s="1">
        <v>0</v>
      </c>
      <c r="G631" s="1">
        <v>0</v>
      </c>
      <c r="H631" s="1">
        <v>42.04</v>
      </c>
      <c r="I631" s="1">
        <v>21.02</v>
      </c>
      <c r="J631" s="1">
        <v>0</v>
      </c>
      <c r="K631" s="1">
        <f t="shared" si="9"/>
        <v>63.06</v>
      </c>
      <c r="L631" s="1" t="str">
        <f>_xlfn.XLOOKUP(A631,satellite_programs!A:A,satellite_programs!N:N)</f>
        <v>Operations</v>
      </c>
    </row>
    <row r="632" spans="1:12" x14ac:dyDescent="0.5">
      <c r="A632" s="1" t="s">
        <v>65</v>
      </c>
      <c r="B632" s="1" t="s">
        <v>56</v>
      </c>
      <c r="C632" s="1" t="s">
        <v>62</v>
      </c>
      <c r="D632" s="1">
        <v>2029</v>
      </c>
      <c r="E632" s="1" t="s">
        <v>28</v>
      </c>
      <c r="F632" s="1">
        <v>0</v>
      </c>
      <c r="G632" s="1">
        <v>0</v>
      </c>
      <c r="H632" s="1">
        <v>42.04</v>
      </c>
      <c r="I632" s="1">
        <v>21.57</v>
      </c>
      <c r="J632" s="1">
        <v>0</v>
      </c>
      <c r="K632" s="1">
        <f t="shared" si="9"/>
        <v>63.61</v>
      </c>
      <c r="L632" s="1" t="str">
        <f>_xlfn.XLOOKUP(A632,satellite_programs!A:A,satellite_programs!N:N)</f>
        <v>Operations</v>
      </c>
    </row>
    <row r="633" spans="1:12" x14ac:dyDescent="0.5">
      <c r="A633" s="1" t="s">
        <v>65</v>
      </c>
      <c r="B633" s="1" t="s">
        <v>56</v>
      </c>
      <c r="C633" s="1" t="s">
        <v>62</v>
      </c>
      <c r="D633" s="1">
        <v>2030</v>
      </c>
      <c r="E633" s="1" t="s">
        <v>28</v>
      </c>
      <c r="F633" s="1">
        <v>0</v>
      </c>
      <c r="G633" s="1">
        <v>0</v>
      </c>
      <c r="H633" s="1">
        <v>42.04</v>
      </c>
      <c r="I633" s="1">
        <v>22.12</v>
      </c>
      <c r="J633" s="1">
        <v>0</v>
      </c>
      <c r="K633" s="1">
        <f t="shared" si="9"/>
        <v>64.16</v>
      </c>
      <c r="L633" s="1" t="str">
        <f>_xlfn.XLOOKUP(A633,satellite_programs!A:A,satellite_programs!N:N)</f>
        <v>Operations</v>
      </c>
    </row>
    <row r="634" spans="1:12" x14ac:dyDescent="0.5">
      <c r="A634" s="1" t="s">
        <v>65</v>
      </c>
      <c r="B634" s="1" t="s">
        <v>56</v>
      </c>
      <c r="C634" s="1" t="s">
        <v>62</v>
      </c>
      <c r="D634" s="1">
        <v>2031</v>
      </c>
      <c r="E634" s="1" t="s">
        <v>28</v>
      </c>
      <c r="F634" s="1">
        <v>0</v>
      </c>
      <c r="G634" s="1">
        <v>0</v>
      </c>
      <c r="H634" s="1">
        <v>42.04</v>
      </c>
      <c r="I634" s="1">
        <v>22.67</v>
      </c>
      <c r="J634" s="1">
        <v>0</v>
      </c>
      <c r="K634" s="1">
        <f t="shared" si="9"/>
        <v>64.710000000000008</v>
      </c>
      <c r="L634" s="1" t="str">
        <f>_xlfn.XLOOKUP(A634,satellite_programs!A:A,satellite_programs!N:N)</f>
        <v>Operations</v>
      </c>
    </row>
    <row r="635" spans="1:12" x14ac:dyDescent="0.5">
      <c r="A635" s="1" t="s">
        <v>65</v>
      </c>
      <c r="B635" s="1" t="s">
        <v>56</v>
      </c>
      <c r="C635" s="1" t="s">
        <v>62</v>
      </c>
      <c r="D635" s="1">
        <v>2032</v>
      </c>
      <c r="E635" s="1" t="s">
        <v>28</v>
      </c>
      <c r="F635" s="1">
        <v>0</v>
      </c>
      <c r="G635" s="1">
        <v>0</v>
      </c>
      <c r="H635" s="1">
        <v>42.04</v>
      </c>
      <c r="I635" s="1">
        <v>23.22</v>
      </c>
      <c r="J635" s="1">
        <v>0</v>
      </c>
      <c r="K635" s="1">
        <f t="shared" si="9"/>
        <v>65.259999999999991</v>
      </c>
      <c r="L635" s="1" t="str">
        <f>_xlfn.XLOOKUP(A635,satellite_programs!A:A,satellite_programs!N:N)</f>
        <v>Operations</v>
      </c>
    </row>
    <row r="636" spans="1:12" x14ac:dyDescent="0.5">
      <c r="A636" s="1" t="s">
        <v>65</v>
      </c>
      <c r="B636" s="1" t="s">
        <v>56</v>
      </c>
      <c r="C636" s="1" t="s">
        <v>62</v>
      </c>
      <c r="D636" s="1">
        <v>2034</v>
      </c>
      <c r="E636" s="1" t="s">
        <v>103</v>
      </c>
      <c r="F636" s="1">
        <v>0</v>
      </c>
      <c r="G636" s="1">
        <v>0</v>
      </c>
      <c r="H636" s="1">
        <v>0</v>
      </c>
      <c r="I636" s="1">
        <v>0</v>
      </c>
      <c r="J636" s="1">
        <v>15.82</v>
      </c>
      <c r="K636" s="1">
        <f t="shared" si="9"/>
        <v>15.82</v>
      </c>
      <c r="L636" s="1" t="str">
        <f>_xlfn.XLOOKUP(A636,satellite_programs!A:A,satellite_programs!N:N)</f>
        <v>Operations</v>
      </c>
    </row>
    <row r="637" spans="1:12" x14ac:dyDescent="0.5">
      <c r="A637" s="1" t="s">
        <v>79</v>
      </c>
      <c r="B637" s="1" t="s">
        <v>22</v>
      </c>
      <c r="C637" s="1" t="s">
        <v>33</v>
      </c>
      <c r="D637" s="1">
        <v>2015</v>
      </c>
      <c r="E637" s="1" t="s">
        <v>104</v>
      </c>
      <c r="F637" s="1">
        <v>0.78</v>
      </c>
      <c r="G637" s="1">
        <v>0</v>
      </c>
      <c r="H637" s="1">
        <v>0</v>
      </c>
      <c r="I637" s="1">
        <v>0</v>
      </c>
      <c r="J637" s="1">
        <v>0</v>
      </c>
      <c r="K637" s="1">
        <f t="shared" si="9"/>
        <v>0.78</v>
      </c>
      <c r="L637" s="1" t="str">
        <f>_xlfn.XLOOKUP(A637,satellite_programs!A:A,satellite_programs!N:N)</f>
        <v>Operations</v>
      </c>
    </row>
    <row r="638" spans="1:12" x14ac:dyDescent="0.5">
      <c r="A638" s="1" t="s">
        <v>79</v>
      </c>
      <c r="B638" s="1" t="s">
        <v>22</v>
      </c>
      <c r="C638" s="1" t="s">
        <v>33</v>
      </c>
      <c r="D638" s="1">
        <v>2016</v>
      </c>
      <c r="E638" s="1" t="s">
        <v>104</v>
      </c>
      <c r="F638" s="1">
        <v>1.56</v>
      </c>
      <c r="G638" s="1">
        <v>0</v>
      </c>
      <c r="H638" s="1">
        <v>0</v>
      </c>
      <c r="I638" s="1">
        <v>0</v>
      </c>
      <c r="J638" s="1">
        <v>0</v>
      </c>
      <c r="K638" s="1">
        <f t="shared" si="9"/>
        <v>1.56</v>
      </c>
      <c r="L638" s="1" t="str">
        <f>_xlfn.XLOOKUP(A638,satellite_programs!A:A,satellite_programs!N:N)</f>
        <v>Operations</v>
      </c>
    </row>
    <row r="639" spans="1:12" x14ac:dyDescent="0.5">
      <c r="A639" s="1" t="s">
        <v>79</v>
      </c>
      <c r="B639" s="1" t="s">
        <v>22</v>
      </c>
      <c r="C639" s="1" t="s">
        <v>33</v>
      </c>
      <c r="D639" s="1">
        <v>2017</v>
      </c>
      <c r="E639" s="1" t="s">
        <v>104</v>
      </c>
      <c r="F639" s="1">
        <v>2.81</v>
      </c>
      <c r="G639" s="1">
        <v>0</v>
      </c>
      <c r="H639" s="1">
        <v>0</v>
      </c>
      <c r="I639" s="1">
        <v>0</v>
      </c>
      <c r="J639" s="1">
        <v>0</v>
      </c>
      <c r="K639" s="1">
        <f t="shared" si="9"/>
        <v>2.81</v>
      </c>
      <c r="L639" s="1" t="str">
        <f>_xlfn.XLOOKUP(A639,satellite_programs!A:A,satellite_programs!N:N)</f>
        <v>Operations</v>
      </c>
    </row>
    <row r="640" spans="1:12" x14ac:dyDescent="0.5">
      <c r="A640" s="1" t="s">
        <v>79</v>
      </c>
      <c r="B640" s="1" t="s">
        <v>22</v>
      </c>
      <c r="C640" s="1" t="s">
        <v>33</v>
      </c>
      <c r="D640" s="1">
        <v>2018</v>
      </c>
      <c r="E640" s="1" t="s">
        <v>104</v>
      </c>
      <c r="F640" s="1">
        <v>3.43</v>
      </c>
      <c r="G640" s="1">
        <v>2.57</v>
      </c>
      <c r="H640" s="1">
        <v>0</v>
      </c>
      <c r="I640" s="1">
        <v>0</v>
      </c>
      <c r="J640" s="1">
        <v>0</v>
      </c>
      <c r="K640" s="1">
        <f t="shared" si="9"/>
        <v>6</v>
      </c>
      <c r="L640" s="1" t="str">
        <f>_xlfn.XLOOKUP(A640,satellite_programs!A:A,satellite_programs!N:N)</f>
        <v>Operations</v>
      </c>
    </row>
    <row r="641" spans="1:12" x14ac:dyDescent="0.5">
      <c r="A641" s="1" t="s">
        <v>79</v>
      </c>
      <c r="B641" s="1" t="s">
        <v>22</v>
      </c>
      <c r="C641" s="1" t="s">
        <v>33</v>
      </c>
      <c r="D641" s="1">
        <v>2019</v>
      </c>
      <c r="E641" s="1" t="s">
        <v>104</v>
      </c>
      <c r="F641" s="1">
        <v>3.12</v>
      </c>
      <c r="G641" s="1">
        <v>2.11</v>
      </c>
      <c r="H641" s="1">
        <v>0</v>
      </c>
      <c r="I641" s="1">
        <v>0</v>
      </c>
      <c r="J641" s="1">
        <v>0</v>
      </c>
      <c r="K641" s="1">
        <f t="shared" si="9"/>
        <v>5.23</v>
      </c>
      <c r="L641" s="1" t="str">
        <f>_xlfn.XLOOKUP(A641,satellite_programs!A:A,satellite_programs!N:N)</f>
        <v>Operations</v>
      </c>
    </row>
    <row r="642" spans="1:12" x14ac:dyDescent="0.5">
      <c r="A642" s="1" t="s">
        <v>79</v>
      </c>
      <c r="B642" s="1" t="s">
        <v>22</v>
      </c>
      <c r="C642" s="1" t="s">
        <v>33</v>
      </c>
      <c r="D642" s="1">
        <v>2020</v>
      </c>
      <c r="E642" s="1" t="s">
        <v>28</v>
      </c>
      <c r="F642" s="1">
        <v>0</v>
      </c>
      <c r="G642" s="1">
        <v>0</v>
      </c>
      <c r="H642" s="1">
        <v>19.97</v>
      </c>
      <c r="I642" s="1">
        <v>15.58</v>
      </c>
      <c r="J642" s="1">
        <v>0</v>
      </c>
      <c r="K642" s="1">
        <f t="shared" ref="K642:K705" si="10">SUM(F642:J642)</f>
        <v>35.549999999999997</v>
      </c>
      <c r="L642" s="1" t="str">
        <f>_xlfn.XLOOKUP(A642,satellite_programs!A:A,satellite_programs!N:N)</f>
        <v>Operations</v>
      </c>
    </row>
    <row r="643" spans="1:12" x14ac:dyDescent="0.5">
      <c r="A643" s="1" t="s">
        <v>79</v>
      </c>
      <c r="B643" s="1" t="s">
        <v>22</v>
      </c>
      <c r="C643" s="1" t="s">
        <v>33</v>
      </c>
      <c r="D643" s="1">
        <v>2021</v>
      </c>
      <c r="E643" s="1" t="s">
        <v>28</v>
      </c>
      <c r="F643" s="1">
        <v>0</v>
      </c>
      <c r="G643" s="1">
        <v>0</v>
      </c>
      <c r="H643" s="1">
        <v>19.97</v>
      </c>
      <c r="I643" s="1">
        <v>16.05</v>
      </c>
      <c r="J643" s="1">
        <v>0</v>
      </c>
      <c r="K643" s="1">
        <f t="shared" si="10"/>
        <v>36.019999999999996</v>
      </c>
      <c r="L643" s="1" t="str">
        <f>_xlfn.XLOOKUP(A643,satellite_programs!A:A,satellite_programs!N:N)</f>
        <v>Operations</v>
      </c>
    </row>
    <row r="644" spans="1:12" x14ac:dyDescent="0.5">
      <c r="A644" s="1" t="s">
        <v>79</v>
      </c>
      <c r="B644" s="1" t="s">
        <v>22</v>
      </c>
      <c r="C644" s="1" t="s">
        <v>33</v>
      </c>
      <c r="D644" s="1">
        <v>2022</v>
      </c>
      <c r="E644" s="1" t="s">
        <v>28</v>
      </c>
      <c r="F644" s="1">
        <v>0</v>
      </c>
      <c r="G644" s="1">
        <v>0</v>
      </c>
      <c r="H644" s="1">
        <v>19.97</v>
      </c>
      <c r="I644" s="1">
        <v>16.510000000000002</v>
      </c>
      <c r="J644" s="1">
        <v>0</v>
      </c>
      <c r="K644" s="1">
        <f t="shared" si="10"/>
        <v>36.480000000000004</v>
      </c>
      <c r="L644" s="1" t="str">
        <f>_xlfn.XLOOKUP(A644,satellite_programs!A:A,satellite_programs!N:N)</f>
        <v>Operations</v>
      </c>
    </row>
    <row r="645" spans="1:12" x14ac:dyDescent="0.5">
      <c r="A645" s="1" t="s">
        <v>79</v>
      </c>
      <c r="B645" s="1" t="s">
        <v>22</v>
      </c>
      <c r="C645" s="1" t="s">
        <v>33</v>
      </c>
      <c r="D645" s="1">
        <v>2023</v>
      </c>
      <c r="E645" s="1" t="s">
        <v>28</v>
      </c>
      <c r="F645" s="1">
        <v>0</v>
      </c>
      <c r="G645" s="1">
        <v>0</v>
      </c>
      <c r="H645" s="1">
        <v>19.97</v>
      </c>
      <c r="I645" s="1">
        <v>16.98</v>
      </c>
      <c r="J645" s="1">
        <v>0</v>
      </c>
      <c r="K645" s="1">
        <f t="shared" si="10"/>
        <v>36.950000000000003</v>
      </c>
      <c r="L645" s="1" t="str">
        <f>_xlfn.XLOOKUP(A645,satellite_programs!A:A,satellite_programs!N:N)</f>
        <v>Operations</v>
      </c>
    </row>
    <row r="646" spans="1:12" x14ac:dyDescent="0.5">
      <c r="A646" s="1" t="s">
        <v>79</v>
      </c>
      <c r="B646" s="1" t="s">
        <v>22</v>
      </c>
      <c r="C646" s="1" t="s">
        <v>33</v>
      </c>
      <c r="D646" s="1">
        <v>2024</v>
      </c>
      <c r="E646" s="1" t="s">
        <v>28</v>
      </c>
      <c r="F646" s="1">
        <v>0</v>
      </c>
      <c r="G646" s="1">
        <v>0</v>
      </c>
      <c r="H646" s="1">
        <v>19.97</v>
      </c>
      <c r="I646" s="1">
        <v>17.45</v>
      </c>
      <c r="J646" s="1">
        <v>0</v>
      </c>
      <c r="K646" s="1">
        <f t="shared" si="10"/>
        <v>37.42</v>
      </c>
      <c r="L646" s="1" t="str">
        <f>_xlfn.XLOOKUP(A646,satellite_programs!A:A,satellite_programs!N:N)</f>
        <v>Operations</v>
      </c>
    </row>
    <row r="647" spans="1:12" x14ac:dyDescent="0.5">
      <c r="A647" s="1" t="s">
        <v>79</v>
      </c>
      <c r="B647" s="1" t="s">
        <v>22</v>
      </c>
      <c r="C647" s="1" t="s">
        <v>33</v>
      </c>
      <c r="D647" s="1">
        <v>2026</v>
      </c>
      <c r="E647" s="1" t="s">
        <v>103</v>
      </c>
      <c r="F647" s="1">
        <v>0</v>
      </c>
      <c r="G647" s="1">
        <v>0</v>
      </c>
      <c r="H647" s="1">
        <v>0</v>
      </c>
      <c r="I647" s="1">
        <v>0</v>
      </c>
      <c r="J647" s="1">
        <v>8.08</v>
      </c>
      <c r="K647" s="1">
        <f t="shared" si="10"/>
        <v>8.08</v>
      </c>
      <c r="L647" s="1" t="str">
        <f>_xlfn.XLOOKUP(A647,satellite_programs!A:A,satellite_programs!N:N)</f>
        <v>Operations</v>
      </c>
    </row>
    <row r="648" spans="1:12" x14ac:dyDescent="0.5">
      <c r="A648" s="1" t="s">
        <v>80</v>
      </c>
      <c r="B648" s="1" t="s">
        <v>22</v>
      </c>
      <c r="C648" s="1" t="s">
        <v>33</v>
      </c>
      <c r="D648" s="1">
        <v>2016</v>
      </c>
      <c r="E648" s="1" t="s">
        <v>104</v>
      </c>
      <c r="F648" s="1">
        <v>0.97</v>
      </c>
      <c r="G648" s="1">
        <v>0</v>
      </c>
      <c r="H648" s="1">
        <v>0</v>
      </c>
      <c r="I648" s="1">
        <v>0</v>
      </c>
      <c r="J648" s="1">
        <v>0</v>
      </c>
      <c r="K648" s="1">
        <f t="shared" si="10"/>
        <v>0.97</v>
      </c>
      <c r="L648" s="1" t="str">
        <f>_xlfn.XLOOKUP(A648,satellite_programs!A:A,satellite_programs!N:N)</f>
        <v>Operations</v>
      </c>
    </row>
    <row r="649" spans="1:12" x14ac:dyDescent="0.5">
      <c r="A649" s="1" t="s">
        <v>80</v>
      </c>
      <c r="B649" s="1" t="s">
        <v>22</v>
      </c>
      <c r="C649" s="1" t="s">
        <v>33</v>
      </c>
      <c r="D649" s="1">
        <v>2017</v>
      </c>
      <c r="E649" s="1" t="s">
        <v>104</v>
      </c>
      <c r="F649" s="1">
        <v>1.95</v>
      </c>
      <c r="G649" s="1">
        <v>0</v>
      </c>
      <c r="H649" s="1">
        <v>0</v>
      </c>
      <c r="I649" s="1">
        <v>0</v>
      </c>
      <c r="J649" s="1">
        <v>0</v>
      </c>
      <c r="K649" s="1">
        <f t="shared" si="10"/>
        <v>1.95</v>
      </c>
      <c r="L649" s="1" t="str">
        <f>_xlfn.XLOOKUP(A649,satellite_programs!A:A,satellite_programs!N:N)</f>
        <v>Operations</v>
      </c>
    </row>
    <row r="650" spans="1:12" x14ac:dyDescent="0.5">
      <c r="A650" s="1" t="s">
        <v>80</v>
      </c>
      <c r="B650" s="1" t="s">
        <v>22</v>
      </c>
      <c r="C650" s="1" t="s">
        <v>33</v>
      </c>
      <c r="D650" s="1">
        <v>2018</v>
      </c>
      <c r="E650" s="1" t="s">
        <v>104</v>
      </c>
      <c r="F650" s="1">
        <v>3.51</v>
      </c>
      <c r="G650" s="1">
        <v>0</v>
      </c>
      <c r="H650" s="1">
        <v>0</v>
      </c>
      <c r="I650" s="1">
        <v>0</v>
      </c>
      <c r="J650" s="1">
        <v>0</v>
      </c>
      <c r="K650" s="1">
        <f t="shared" si="10"/>
        <v>3.51</v>
      </c>
      <c r="L650" s="1" t="str">
        <f>_xlfn.XLOOKUP(A650,satellite_programs!A:A,satellite_programs!N:N)</f>
        <v>Operations</v>
      </c>
    </row>
    <row r="651" spans="1:12" x14ac:dyDescent="0.5">
      <c r="A651" s="1" t="s">
        <v>80</v>
      </c>
      <c r="B651" s="1" t="s">
        <v>22</v>
      </c>
      <c r="C651" s="1" t="s">
        <v>33</v>
      </c>
      <c r="D651" s="1">
        <v>2019</v>
      </c>
      <c r="E651" s="1" t="s">
        <v>104</v>
      </c>
      <c r="F651" s="1">
        <v>4.29</v>
      </c>
      <c r="G651" s="1">
        <v>3.21</v>
      </c>
      <c r="H651" s="1">
        <v>0</v>
      </c>
      <c r="I651" s="1">
        <v>0</v>
      </c>
      <c r="J651" s="1">
        <v>0</v>
      </c>
      <c r="K651" s="1">
        <f t="shared" si="10"/>
        <v>7.5</v>
      </c>
      <c r="L651" s="1" t="str">
        <f>_xlfn.XLOOKUP(A651,satellite_programs!A:A,satellite_programs!N:N)</f>
        <v>Operations</v>
      </c>
    </row>
    <row r="652" spans="1:12" x14ac:dyDescent="0.5">
      <c r="A652" s="1" t="s">
        <v>80</v>
      </c>
      <c r="B652" s="1" t="s">
        <v>22</v>
      </c>
      <c r="C652" s="1" t="s">
        <v>33</v>
      </c>
      <c r="D652" s="1">
        <v>2020</v>
      </c>
      <c r="E652" s="1" t="s">
        <v>104</v>
      </c>
      <c r="F652" s="1">
        <v>3.89</v>
      </c>
      <c r="G652" s="1">
        <v>2.63</v>
      </c>
      <c r="H652" s="1">
        <v>0</v>
      </c>
      <c r="I652" s="1">
        <v>0</v>
      </c>
      <c r="J652" s="1">
        <v>0</v>
      </c>
      <c r="K652" s="1">
        <f t="shared" si="10"/>
        <v>6.52</v>
      </c>
      <c r="L652" s="1" t="str">
        <f>_xlfn.XLOOKUP(A652,satellite_programs!A:A,satellite_programs!N:N)</f>
        <v>Operations</v>
      </c>
    </row>
    <row r="653" spans="1:12" x14ac:dyDescent="0.5">
      <c r="A653" s="1" t="s">
        <v>80</v>
      </c>
      <c r="B653" s="1" t="s">
        <v>22</v>
      </c>
      <c r="C653" s="1" t="s">
        <v>33</v>
      </c>
      <c r="D653" s="1">
        <v>2021</v>
      </c>
      <c r="E653" s="1" t="s">
        <v>28</v>
      </c>
      <c r="F653" s="1">
        <v>0</v>
      </c>
      <c r="G653" s="1">
        <v>0</v>
      </c>
      <c r="H653" s="1">
        <v>20.02</v>
      </c>
      <c r="I653" s="1">
        <v>15.67</v>
      </c>
      <c r="J653" s="1">
        <v>0</v>
      </c>
      <c r="K653" s="1">
        <f t="shared" si="10"/>
        <v>35.69</v>
      </c>
      <c r="L653" s="1" t="str">
        <f>_xlfn.XLOOKUP(A653,satellite_programs!A:A,satellite_programs!N:N)</f>
        <v>Operations</v>
      </c>
    </row>
    <row r="654" spans="1:12" x14ac:dyDescent="0.5">
      <c r="A654" s="1" t="s">
        <v>80</v>
      </c>
      <c r="B654" s="1" t="s">
        <v>22</v>
      </c>
      <c r="C654" s="1" t="s">
        <v>33</v>
      </c>
      <c r="D654" s="1">
        <v>2022</v>
      </c>
      <c r="E654" s="1" t="s">
        <v>28</v>
      </c>
      <c r="F654" s="1">
        <v>0</v>
      </c>
      <c r="G654" s="1">
        <v>0</v>
      </c>
      <c r="H654" s="1">
        <v>20.02</v>
      </c>
      <c r="I654" s="1">
        <v>16.14</v>
      </c>
      <c r="J654" s="1">
        <v>0</v>
      </c>
      <c r="K654" s="1">
        <f t="shared" si="10"/>
        <v>36.159999999999997</v>
      </c>
      <c r="L654" s="1" t="str">
        <f>_xlfn.XLOOKUP(A654,satellite_programs!A:A,satellite_programs!N:N)</f>
        <v>Operations</v>
      </c>
    </row>
    <row r="655" spans="1:12" x14ac:dyDescent="0.5">
      <c r="A655" s="1" t="s">
        <v>80</v>
      </c>
      <c r="B655" s="1" t="s">
        <v>22</v>
      </c>
      <c r="C655" s="1" t="s">
        <v>33</v>
      </c>
      <c r="D655" s="1">
        <v>2023</v>
      </c>
      <c r="E655" s="1" t="s">
        <v>28</v>
      </c>
      <c r="F655" s="1">
        <v>0</v>
      </c>
      <c r="G655" s="1">
        <v>0</v>
      </c>
      <c r="H655" s="1">
        <v>20.02</v>
      </c>
      <c r="I655" s="1">
        <v>16.61</v>
      </c>
      <c r="J655" s="1">
        <v>0</v>
      </c>
      <c r="K655" s="1">
        <f t="shared" si="10"/>
        <v>36.629999999999995</v>
      </c>
      <c r="L655" s="1" t="str">
        <f>_xlfn.XLOOKUP(A655,satellite_programs!A:A,satellite_programs!N:N)</f>
        <v>Operations</v>
      </c>
    </row>
    <row r="656" spans="1:12" x14ac:dyDescent="0.5">
      <c r="A656" s="1" t="s">
        <v>80</v>
      </c>
      <c r="B656" s="1" t="s">
        <v>22</v>
      </c>
      <c r="C656" s="1" t="s">
        <v>33</v>
      </c>
      <c r="D656" s="1">
        <v>2024</v>
      </c>
      <c r="E656" s="1" t="s">
        <v>28</v>
      </c>
      <c r="F656" s="1">
        <v>0</v>
      </c>
      <c r="G656" s="1">
        <v>0</v>
      </c>
      <c r="H656" s="1">
        <v>20.02</v>
      </c>
      <c r="I656" s="1">
        <v>17.079999999999998</v>
      </c>
      <c r="J656" s="1">
        <v>0</v>
      </c>
      <c r="K656" s="1">
        <f t="shared" si="10"/>
        <v>37.099999999999994</v>
      </c>
      <c r="L656" s="1" t="str">
        <f>_xlfn.XLOOKUP(A656,satellite_programs!A:A,satellite_programs!N:N)</f>
        <v>Operations</v>
      </c>
    </row>
    <row r="657" spans="1:12" x14ac:dyDescent="0.5">
      <c r="A657" s="1" t="s">
        <v>80</v>
      </c>
      <c r="B657" s="1" t="s">
        <v>22</v>
      </c>
      <c r="C657" s="1" t="s">
        <v>33</v>
      </c>
      <c r="D657" s="1">
        <v>2025</v>
      </c>
      <c r="E657" s="1" t="s">
        <v>28</v>
      </c>
      <c r="F657" s="1">
        <v>0</v>
      </c>
      <c r="G657" s="1">
        <v>0</v>
      </c>
      <c r="H657" s="1">
        <v>20.02</v>
      </c>
      <c r="I657" s="1">
        <v>17.55</v>
      </c>
      <c r="J657" s="1">
        <v>0</v>
      </c>
      <c r="K657" s="1">
        <f t="shared" si="10"/>
        <v>37.57</v>
      </c>
      <c r="L657" s="1" t="str">
        <f>_xlfn.XLOOKUP(A657,satellite_programs!A:A,satellite_programs!N:N)</f>
        <v>Operations</v>
      </c>
    </row>
    <row r="658" spans="1:12" x14ac:dyDescent="0.5">
      <c r="A658" s="1" t="s">
        <v>80</v>
      </c>
      <c r="B658" s="1" t="s">
        <v>22</v>
      </c>
      <c r="C658" s="1" t="s">
        <v>33</v>
      </c>
      <c r="D658" s="1">
        <v>2027</v>
      </c>
      <c r="E658" s="1" t="s">
        <v>103</v>
      </c>
      <c r="F658" s="1">
        <v>0</v>
      </c>
      <c r="G658" s="1">
        <v>0</v>
      </c>
      <c r="H658" s="1">
        <v>0</v>
      </c>
      <c r="I658" s="1">
        <v>0</v>
      </c>
      <c r="J658" s="1">
        <v>8.11</v>
      </c>
      <c r="K658" s="1">
        <f t="shared" si="10"/>
        <v>8.11</v>
      </c>
      <c r="L658" s="1" t="str">
        <f>_xlfn.XLOOKUP(A658,satellite_programs!A:A,satellite_programs!N:N)</f>
        <v>Operations</v>
      </c>
    </row>
    <row r="659" spans="1:12" x14ac:dyDescent="0.5">
      <c r="A659" s="1" t="s">
        <v>81</v>
      </c>
      <c r="B659" s="1" t="s">
        <v>32</v>
      </c>
      <c r="C659" s="1" t="s">
        <v>33</v>
      </c>
      <c r="D659" s="1">
        <v>2017</v>
      </c>
      <c r="E659" s="1" t="s">
        <v>104</v>
      </c>
      <c r="F659" s="1">
        <v>1.1599999999999999</v>
      </c>
      <c r="G659" s="1">
        <v>0</v>
      </c>
      <c r="H659" s="1">
        <v>0</v>
      </c>
      <c r="I659" s="1">
        <v>0</v>
      </c>
      <c r="J659" s="1">
        <v>0</v>
      </c>
      <c r="K659" s="1">
        <f t="shared" si="10"/>
        <v>1.1599999999999999</v>
      </c>
      <c r="L659" s="1" t="str">
        <f>_xlfn.XLOOKUP(A659,satellite_programs!A:A,satellite_programs!N:N)</f>
        <v>Operations</v>
      </c>
    </row>
    <row r="660" spans="1:12" x14ac:dyDescent="0.5">
      <c r="A660" s="1" t="s">
        <v>81</v>
      </c>
      <c r="B660" s="1" t="s">
        <v>32</v>
      </c>
      <c r="C660" s="1" t="s">
        <v>33</v>
      </c>
      <c r="D660" s="1">
        <v>2018</v>
      </c>
      <c r="E660" s="1" t="s">
        <v>104</v>
      </c>
      <c r="F660" s="1">
        <v>2.3199999999999998</v>
      </c>
      <c r="G660" s="1">
        <v>0</v>
      </c>
      <c r="H660" s="1">
        <v>0</v>
      </c>
      <c r="I660" s="1">
        <v>0</v>
      </c>
      <c r="J660" s="1">
        <v>0</v>
      </c>
      <c r="K660" s="1">
        <f t="shared" si="10"/>
        <v>2.3199999999999998</v>
      </c>
      <c r="L660" s="1" t="str">
        <f>_xlfn.XLOOKUP(A660,satellite_programs!A:A,satellite_programs!N:N)</f>
        <v>Operations</v>
      </c>
    </row>
    <row r="661" spans="1:12" x14ac:dyDescent="0.5">
      <c r="A661" s="1" t="s">
        <v>81</v>
      </c>
      <c r="B661" s="1" t="s">
        <v>32</v>
      </c>
      <c r="C661" s="1" t="s">
        <v>33</v>
      </c>
      <c r="D661" s="1">
        <v>2019</v>
      </c>
      <c r="E661" s="1" t="s">
        <v>104</v>
      </c>
      <c r="F661" s="1">
        <v>4.18</v>
      </c>
      <c r="G661" s="1">
        <v>0</v>
      </c>
      <c r="H661" s="1">
        <v>0</v>
      </c>
      <c r="I661" s="1">
        <v>0</v>
      </c>
      <c r="J661" s="1">
        <v>0</v>
      </c>
      <c r="K661" s="1">
        <f t="shared" si="10"/>
        <v>4.18</v>
      </c>
      <c r="L661" s="1" t="str">
        <f>_xlfn.XLOOKUP(A661,satellite_programs!A:A,satellite_programs!N:N)</f>
        <v>Operations</v>
      </c>
    </row>
    <row r="662" spans="1:12" x14ac:dyDescent="0.5">
      <c r="A662" s="1" t="s">
        <v>81</v>
      </c>
      <c r="B662" s="1" t="s">
        <v>32</v>
      </c>
      <c r="C662" s="1" t="s">
        <v>33</v>
      </c>
      <c r="D662" s="1">
        <v>2020</v>
      </c>
      <c r="E662" s="1" t="s">
        <v>104</v>
      </c>
      <c r="F662" s="1">
        <v>5.1100000000000003</v>
      </c>
      <c r="G662" s="1">
        <v>3.83</v>
      </c>
      <c r="H662" s="1">
        <v>0</v>
      </c>
      <c r="I662" s="1">
        <v>0</v>
      </c>
      <c r="J662" s="1">
        <v>0</v>
      </c>
      <c r="K662" s="1">
        <f t="shared" si="10"/>
        <v>8.9400000000000013</v>
      </c>
      <c r="L662" s="1" t="str">
        <f>_xlfn.XLOOKUP(A662,satellite_programs!A:A,satellite_programs!N:N)</f>
        <v>Operations</v>
      </c>
    </row>
    <row r="663" spans="1:12" x14ac:dyDescent="0.5">
      <c r="A663" s="1" t="s">
        <v>81</v>
      </c>
      <c r="B663" s="1" t="s">
        <v>32</v>
      </c>
      <c r="C663" s="1" t="s">
        <v>33</v>
      </c>
      <c r="D663" s="1">
        <v>2021</v>
      </c>
      <c r="E663" s="1" t="s">
        <v>104</v>
      </c>
      <c r="F663" s="1">
        <v>4.6399999999999997</v>
      </c>
      <c r="G663" s="1">
        <v>3.13</v>
      </c>
      <c r="H663" s="1">
        <v>0</v>
      </c>
      <c r="I663" s="1">
        <v>0</v>
      </c>
      <c r="J663" s="1">
        <v>0</v>
      </c>
      <c r="K663" s="1">
        <f t="shared" si="10"/>
        <v>7.77</v>
      </c>
      <c r="L663" s="1" t="str">
        <f>_xlfn.XLOOKUP(A663,satellite_programs!A:A,satellite_programs!N:N)</f>
        <v>Operations</v>
      </c>
    </row>
    <row r="664" spans="1:12" x14ac:dyDescent="0.5">
      <c r="A664" s="1" t="s">
        <v>81</v>
      </c>
      <c r="B664" s="1" t="s">
        <v>32</v>
      </c>
      <c r="C664" s="1" t="s">
        <v>33</v>
      </c>
      <c r="D664" s="1">
        <v>2022</v>
      </c>
      <c r="E664" s="1" t="s">
        <v>28</v>
      </c>
      <c r="F664" s="1">
        <v>0</v>
      </c>
      <c r="G664" s="1">
        <v>0</v>
      </c>
      <c r="H664" s="1">
        <v>21.87</v>
      </c>
      <c r="I664" s="1">
        <v>15.84</v>
      </c>
      <c r="J664" s="1">
        <v>0</v>
      </c>
      <c r="K664" s="1">
        <f t="shared" si="10"/>
        <v>37.71</v>
      </c>
      <c r="L664" s="1" t="str">
        <f>_xlfn.XLOOKUP(A664,satellite_programs!A:A,satellite_programs!N:N)</f>
        <v>Operations</v>
      </c>
    </row>
    <row r="665" spans="1:12" x14ac:dyDescent="0.5">
      <c r="A665" s="1" t="s">
        <v>81</v>
      </c>
      <c r="B665" s="1" t="s">
        <v>32</v>
      </c>
      <c r="C665" s="1" t="s">
        <v>33</v>
      </c>
      <c r="D665" s="1">
        <v>2023</v>
      </c>
      <c r="E665" s="1" t="s">
        <v>28</v>
      </c>
      <c r="F665" s="1">
        <v>0</v>
      </c>
      <c r="G665" s="1">
        <v>0</v>
      </c>
      <c r="H665" s="1">
        <v>21.87</v>
      </c>
      <c r="I665" s="1">
        <v>16.32</v>
      </c>
      <c r="J665" s="1">
        <v>0</v>
      </c>
      <c r="K665" s="1">
        <f t="shared" si="10"/>
        <v>38.19</v>
      </c>
      <c r="L665" s="1" t="str">
        <f>_xlfn.XLOOKUP(A665,satellite_programs!A:A,satellite_programs!N:N)</f>
        <v>Operations</v>
      </c>
    </row>
    <row r="666" spans="1:12" x14ac:dyDescent="0.5">
      <c r="A666" s="1" t="s">
        <v>81</v>
      </c>
      <c r="B666" s="1" t="s">
        <v>32</v>
      </c>
      <c r="C666" s="1" t="s">
        <v>33</v>
      </c>
      <c r="D666" s="1">
        <v>2024</v>
      </c>
      <c r="E666" s="1" t="s">
        <v>28</v>
      </c>
      <c r="F666" s="1">
        <v>0</v>
      </c>
      <c r="G666" s="1">
        <v>0</v>
      </c>
      <c r="H666" s="1">
        <v>21.87</v>
      </c>
      <c r="I666" s="1">
        <v>16.79</v>
      </c>
      <c r="J666" s="1">
        <v>0</v>
      </c>
      <c r="K666" s="1">
        <f t="shared" si="10"/>
        <v>38.659999999999997</v>
      </c>
      <c r="L666" s="1" t="str">
        <f>_xlfn.XLOOKUP(A666,satellite_programs!A:A,satellite_programs!N:N)</f>
        <v>Operations</v>
      </c>
    </row>
    <row r="667" spans="1:12" x14ac:dyDescent="0.5">
      <c r="A667" s="1" t="s">
        <v>81</v>
      </c>
      <c r="B667" s="1" t="s">
        <v>32</v>
      </c>
      <c r="C667" s="1" t="s">
        <v>33</v>
      </c>
      <c r="D667" s="1">
        <v>2025</v>
      </c>
      <c r="E667" s="1" t="s">
        <v>28</v>
      </c>
      <c r="F667" s="1">
        <v>0</v>
      </c>
      <c r="G667" s="1">
        <v>0</v>
      </c>
      <c r="H667" s="1">
        <v>21.87</v>
      </c>
      <c r="I667" s="1">
        <v>17.27</v>
      </c>
      <c r="J667" s="1">
        <v>0</v>
      </c>
      <c r="K667" s="1">
        <f t="shared" si="10"/>
        <v>39.14</v>
      </c>
      <c r="L667" s="1" t="str">
        <f>_xlfn.XLOOKUP(A667,satellite_programs!A:A,satellite_programs!N:N)</f>
        <v>Operations</v>
      </c>
    </row>
    <row r="668" spans="1:12" x14ac:dyDescent="0.5">
      <c r="A668" s="1" t="s">
        <v>81</v>
      </c>
      <c r="B668" s="1" t="s">
        <v>32</v>
      </c>
      <c r="C668" s="1" t="s">
        <v>33</v>
      </c>
      <c r="D668" s="1">
        <v>2026</v>
      </c>
      <c r="E668" s="1" t="s">
        <v>28</v>
      </c>
      <c r="F668" s="1">
        <v>0</v>
      </c>
      <c r="G668" s="1">
        <v>0</v>
      </c>
      <c r="H668" s="1">
        <v>21.87</v>
      </c>
      <c r="I668" s="1">
        <v>17.739999999999998</v>
      </c>
      <c r="J668" s="1">
        <v>0</v>
      </c>
      <c r="K668" s="1">
        <f t="shared" si="10"/>
        <v>39.61</v>
      </c>
      <c r="L668" s="1" t="str">
        <f>_xlfn.XLOOKUP(A668,satellite_programs!A:A,satellite_programs!N:N)</f>
        <v>Operations</v>
      </c>
    </row>
    <row r="669" spans="1:12" x14ac:dyDescent="0.5">
      <c r="A669" s="1" t="s">
        <v>81</v>
      </c>
      <c r="B669" s="1" t="s">
        <v>32</v>
      </c>
      <c r="C669" s="1" t="s">
        <v>33</v>
      </c>
      <c r="D669" s="1">
        <v>2028</v>
      </c>
      <c r="E669" s="1" t="s">
        <v>103</v>
      </c>
      <c r="F669" s="1">
        <v>0</v>
      </c>
      <c r="G669" s="1">
        <v>0</v>
      </c>
      <c r="H669" s="1">
        <v>0</v>
      </c>
      <c r="I669" s="1">
        <v>0</v>
      </c>
      <c r="J669" s="1">
        <v>8.14</v>
      </c>
      <c r="K669" s="1">
        <f t="shared" si="10"/>
        <v>8.14</v>
      </c>
      <c r="L669" s="1" t="str">
        <f>_xlfn.XLOOKUP(A669,satellite_programs!A:A,satellite_programs!N:N)</f>
        <v>Operations</v>
      </c>
    </row>
    <row r="670" spans="1:12" x14ac:dyDescent="0.5">
      <c r="A670" s="1" t="s">
        <v>82</v>
      </c>
      <c r="B670" s="1" t="s">
        <v>32</v>
      </c>
      <c r="C670" s="1" t="s">
        <v>33</v>
      </c>
      <c r="D670" s="1">
        <v>2018</v>
      </c>
      <c r="E670" s="1" t="s">
        <v>104</v>
      </c>
      <c r="F670" s="1">
        <v>1.01</v>
      </c>
      <c r="G670" s="1">
        <v>0</v>
      </c>
      <c r="H670" s="1">
        <v>0</v>
      </c>
      <c r="I670" s="1">
        <v>0</v>
      </c>
      <c r="J670" s="1">
        <v>0</v>
      </c>
      <c r="K670" s="1">
        <f t="shared" si="10"/>
        <v>1.01</v>
      </c>
      <c r="L670" s="1" t="str">
        <f>_xlfn.XLOOKUP(A670,satellite_programs!A:A,satellite_programs!N:N)</f>
        <v>Operations</v>
      </c>
    </row>
    <row r="671" spans="1:12" x14ac:dyDescent="0.5">
      <c r="A671" s="1" t="s">
        <v>82</v>
      </c>
      <c r="B671" s="1" t="s">
        <v>32</v>
      </c>
      <c r="C671" s="1" t="s">
        <v>33</v>
      </c>
      <c r="D671" s="1">
        <v>2019</v>
      </c>
      <c r="E671" s="1" t="s">
        <v>104</v>
      </c>
      <c r="F671" s="1">
        <v>2.0099999999999998</v>
      </c>
      <c r="G671" s="1">
        <v>0</v>
      </c>
      <c r="H671" s="1">
        <v>0</v>
      </c>
      <c r="I671" s="1">
        <v>0</v>
      </c>
      <c r="J671" s="1">
        <v>0</v>
      </c>
      <c r="K671" s="1">
        <f t="shared" si="10"/>
        <v>2.0099999999999998</v>
      </c>
      <c r="L671" s="1" t="str">
        <f>_xlfn.XLOOKUP(A671,satellite_programs!A:A,satellite_programs!N:N)</f>
        <v>Operations</v>
      </c>
    </row>
    <row r="672" spans="1:12" x14ac:dyDescent="0.5">
      <c r="A672" s="1" t="s">
        <v>82</v>
      </c>
      <c r="B672" s="1" t="s">
        <v>32</v>
      </c>
      <c r="C672" s="1" t="s">
        <v>33</v>
      </c>
      <c r="D672" s="1">
        <v>2020</v>
      </c>
      <c r="E672" s="1" t="s">
        <v>104</v>
      </c>
      <c r="F672" s="1">
        <v>3.62</v>
      </c>
      <c r="G672" s="1">
        <v>0</v>
      </c>
      <c r="H672" s="1">
        <v>0</v>
      </c>
      <c r="I672" s="1">
        <v>0</v>
      </c>
      <c r="J672" s="1">
        <v>0</v>
      </c>
      <c r="K672" s="1">
        <f t="shared" si="10"/>
        <v>3.62</v>
      </c>
      <c r="L672" s="1" t="str">
        <f>_xlfn.XLOOKUP(A672,satellite_programs!A:A,satellite_programs!N:N)</f>
        <v>Operations</v>
      </c>
    </row>
    <row r="673" spans="1:12" x14ac:dyDescent="0.5">
      <c r="A673" s="1" t="s">
        <v>82</v>
      </c>
      <c r="B673" s="1" t="s">
        <v>32</v>
      </c>
      <c r="C673" s="1" t="s">
        <v>33</v>
      </c>
      <c r="D673" s="1">
        <v>2021</v>
      </c>
      <c r="E673" s="1" t="s">
        <v>104</v>
      </c>
      <c r="F673" s="1">
        <v>4.42</v>
      </c>
      <c r="G673" s="1">
        <v>3.32</v>
      </c>
      <c r="H673" s="1">
        <v>0</v>
      </c>
      <c r="I673" s="1">
        <v>0</v>
      </c>
      <c r="J673" s="1">
        <v>0</v>
      </c>
      <c r="K673" s="1">
        <f t="shared" si="10"/>
        <v>7.74</v>
      </c>
      <c r="L673" s="1" t="str">
        <f>_xlfn.XLOOKUP(A673,satellite_programs!A:A,satellite_programs!N:N)</f>
        <v>Operations</v>
      </c>
    </row>
    <row r="674" spans="1:12" x14ac:dyDescent="0.5">
      <c r="A674" s="1" t="s">
        <v>82</v>
      </c>
      <c r="B674" s="1" t="s">
        <v>32</v>
      </c>
      <c r="C674" s="1" t="s">
        <v>33</v>
      </c>
      <c r="D674" s="1">
        <v>2022</v>
      </c>
      <c r="E674" s="1" t="s">
        <v>104</v>
      </c>
      <c r="F674" s="1">
        <v>4.0199999999999996</v>
      </c>
      <c r="G674" s="1">
        <v>2.71</v>
      </c>
      <c r="H674" s="1">
        <v>0</v>
      </c>
      <c r="I674" s="1">
        <v>0</v>
      </c>
      <c r="J674" s="1">
        <v>0</v>
      </c>
      <c r="K674" s="1">
        <f t="shared" si="10"/>
        <v>6.7299999999999995</v>
      </c>
      <c r="L674" s="1" t="str">
        <f>_xlfn.XLOOKUP(A674,satellite_programs!A:A,satellite_programs!N:N)</f>
        <v>Operations</v>
      </c>
    </row>
    <row r="675" spans="1:12" x14ac:dyDescent="0.5">
      <c r="A675" s="1" t="s">
        <v>82</v>
      </c>
      <c r="B675" s="1" t="s">
        <v>32</v>
      </c>
      <c r="C675" s="1" t="s">
        <v>33</v>
      </c>
      <c r="D675" s="1">
        <v>2023</v>
      </c>
      <c r="E675" s="1" t="s">
        <v>28</v>
      </c>
      <c r="F675" s="1">
        <v>0</v>
      </c>
      <c r="G675" s="1">
        <v>0</v>
      </c>
      <c r="H675" s="1">
        <v>21.93</v>
      </c>
      <c r="I675" s="1">
        <v>15.98</v>
      </c>
      <c r="J675" s="1">
        <v>0</v>
      </c>
      <c r="K675" s="1">
        <f t="shared" si="10"/>
        <v>37.909999999999997</v>
      </c>
      <c r="L675" s="1" t="str">
        <f>_xlfn.XLOOKUP(A675,satellite_programs!A:A,satellite_programs!N:N)</f>
        <v>Operations</v>
      </c>
    </row>
    <row r="676" spans="1:12" x14ac:dyDescent="0.5">
      <c r="A676" s="1" t="s">
        <v>82</v>
      </c>
      <c r="B676" s="1" t="s">
        <v>32</v>
      </c>
      <c r="C676" s="1" t="s">
        <v>33</v>
      </c>
      <c r="D676" s="1">
        <v>2024</v>
      </c>
      <c r="E676" s="1" t="s">
        <v>28</v>
      </c>
      <c r="F676" s="1">
        <v>0</v>
      </c>
      <c r="G676" s="1">
        <v>0</v>
      </c>
      <c r="H676" s="1">
        <v>21.93</v>
      </c>
      <c r="I676" s="1">
        <v>16.46</v>
      </c>
      <c r="J676" s="1">
        <v>0</v>
      </c>
      <c r="K676" s="1">
        <f t="shared" si="10"/>
        <v>38.39</v>
      </c>
      <c r="L676" s="1" t="str">
        <f>_xlfn.XLOOKUP(A676,satellite_programs!A:A,satellite_programs!N:N)</f>
        <v>Operations</v>
      </c>
    </row>
    <row r="677" spans="1:12" x14ac:dyDescent="0.5">
      <c r="A677" s="1" t="s">
        <v>82</v>
      </c>
      <c r="B677" s="1" t="s">
        <v>32</v>
      </c>
      <c r="C677" s="1" t="s">
        <v>33</v>
      </c>
      <c r="D677" s="1">
        <v>2025</v>
      </c>
      <c r="E677" s="1" t="s">
        <v>28</v>
      </c>
      <c r="F677" s="1">
        <v>0</v>
      </c>
      <c r="G677" s="1">
        <v>0</v>
      </c>
      <c r="H677" s="1">
        <v>21.93</v>
      </c>
      <c r="I677" s="1">
        <v>16.940000000000001</v>
      </c>
      <c r="J677" s="1">
        <v>0</v>
      </c>
      <c r="K677" s="1">
        <f t="shared" si="10"/>
        <v>38.870000000000005</v>
      </c>
      <c r="L677" s="1" t="str">
        <f>_xlfn.XLOOKUP(A677,satellite_programs!A:A,satellite_programs!N:N)</f>
        <v>Operations</v>
      </c>
    </row>
    <row r="678" spans="1:12" x14ac:dyDescent="0.5">
      <c r="A678" s="1" t="s">
        <v>82</v>
      </c>
      <c r="B678" s="1" t="s">
        <v>32</v>
      </c>
      <c r="C678" s="1" t="s">
        <v>33</v>
      </c>
      <c r="D678" s="1">
        <v>2026</v>
      </c>
      <c r="E678" s="1" t="s">
        <v>28</v>
      </c>
      <c r="F678" s="1">
        <v>0</v>
      </c>
      <c r="G678" s="1">
        <v>0</v>
      </c>
      <c r="H678" s="1">
        <v>21.93</v>
      </c>
      <c r="I678" s="1">
        <v>17.420000000000002</v>
      </c>
      <c r="J678" s="1">
        <v>0</v>
      </c>
      <c r="K678" s="1">
        <f t="shared" si="10"/>
        <v>39.35</v>
      </c>
      <c r="L678" s="1" t="str">
        <f>_xlfn.XLOOKUP(A678,satellite_programs!A:A,satellite_programs!N:N)</f>
        <v>Operations</v>
      </c>
    </row>
    <row r="679" spans="1:12" x14ac:dyDescent="0.5">
      <c r="A679" s="1" t="s">
        <v>82</v>
      </c>
      <c r="B679" s="1" t="s">
        <v>32</v>
      </c>
      <c r="C679" s="1" t="s">
        <v>33</v>
      </c>
      <c r="D679" s="1">
        <v>2027</v>
      </c>
      <c r="E679" s="1" t="s">
        <v>28</v>
      </c>
      <c r="F679" s="1">
        <v>0</v>
      </c>
      <c r="G679" s="1">
        <v>0</v>
      </c>
      <c r="H679" s="1">
        <v>21.93</v>
      </c>
      <c r="I679" s="1">
        <v>17.899999999999999</v>
      </c>
      <c r="J679" s="1">
        <v>0</v>
      </c>
      <c r="K679" s="1">
        <f t="shared" si="10"/>
        <v>39.83</v>
      </c>
      <c r="L679" s="1" t="str">
        <f>_xlfn.XLOOKUP(A679,satellite_programs!A:A,satellite_programs!N:N)</f>
        <v>Operations</v>
      </c>
    </row>
    <row r="680" spans="1:12" x14ac:dyDescent="0.5">
      <c r="A680" s="1" t="s">
        <v>82</v>
      </c>
      <c r="B680" s="1" t="s">
        <v>32</v>
      </c>
      <c r="C680" s="1" t="s">
        <v>33</v>
      </c>
      <c r="D680" s="1">
        <v>2029</v>
      </c>
      <c r="E680" s="1" t="s">
        <v>103</v>
      </c>
      <c r="F680" s="1">
        <v>0</v>
      </c>
      <c r="G680" s="1">
        <v>0</v>
      </c>
      <c r="H680" s="1">
        <v>0</v>
      </c>
      <c r="I680" s="1">
        <v>0</v>
      </c>
      <c r="J680" s="1">
        <v>8.16</v>
      </c>
      <c r="K680" s="1">
        <f t="shared" si="10"/>
        <v>8.16</v>
      </c>
      <c r="L680" s="1" t="str">
        <f>_xlfn.XLOOKUP(A680,satellite_programs!A:A,satellite_programs!N:N)</f>
        <v>Operations</v>
      </c>
    </row>
    <row r="681" spans="1:12" x14ac:dyDescent="0.5">
      <c r="A681" s="1" t="s">
        <v>83</v>
      </c>
      <c r="B681" s="1" t="s">
        <v>32</v>
      </c>
      <c r="C681" s="1" t="s">
        <v>33</v>
      </c>
      <c r="D681" s="1">
        <v>2019</v>
      </c>
      <c r="E681" s="1" t="s">
        <v>104</v>
      </c>
      <c r="F681" s="1">
        <v>1.29</v>
      </c>
      <c r="G681" s="1">
        <v>0</v>
      </c>
      <c r="H681" s="1">
        <v>0</v>
      </c>
      <c r="I681" s="1">
        <v>0</v>
      </c>
      <c r="J681" s="1">
        <v>0</v>
      </c>
      <c r="K681" s="1">
        <f t="shared" si="10"/>
        <v>1.29</v>
      </c>
      <c r="L681" s="1" t="str">
        <f>_xlfn.XLOOKUP(A681,satellite_programs!A:A,satellite_programs!N:N)</f>
        <v>Operations</v>
      </c>
    </row>
    <row r="682" spans="1:12" x14ac:dyDescent="0.5">
      <c r="A682" s="1" t="s">
        <v>83</v>
      </c>
      <c r="B682" s="1" t="s">
        <v>32</v>
      </c>
      <c r="C682" s="1" t="s">
        <v>33</v>
      </c>
      <c r="D682" s="1">
        <v>2020</v>
      </c>
      <c r="E682" s="1" t="s">
        <v>104</v>
      </c>
      <c r="F682" s="1">
        <v>2.58</v>
      </c>
      <c r="G682" s="1">
        <v>0</v>
      </c>
      <c r="H682" s="1">
        <v>0</v>
      </c>
      <c r="I682" s="1">
        <v>0</v>
      </c>
      <c r="J682" s="1">
        <v>0</v>
      </c>
      <c r="K682" s="1">
        <f t="shared" si="10"/>
        <v>2.58</v>
      </c>
      <c r="L682" s="1" t="str">
        <f>_xlfn.XLOOKUP(A682,satellite_programs!A:A,satellite_programs!N:N)</f>
        <v>Operations</v>
      </c>
    </row>
    <row r="683" spans="1:12" x14ac:dyDescent="0.5">
      <c r="A683" s="1" t="s">
        <v>83</v>
      </c>
      <c r="B683" s="1" t="s">
        <v>32</v>
      </c>
      <c r="C683" s="1" t="s">
        <v>33</v>
      </c>
      <c r="D683" s="1">
        <v>2021</v>
      </c>
      <c r="E683" s="1" t="s">
        <v>104</v>
      </c>
      <c r="F683" s="1">
        <v>4.6399999999999997</v>
      </c>
      <c r="G683" s="1">
        <v>0</v>
      </c>
      <c r="H683" s="1">
        <v>0</v>
      </c>
      <c r="I683" s="1">
        <v>0</v>
      </c>
      <c r="J683" s="1">
        <v>0</v>
      </c>
      <c r="K683" s="1">
        <f t="shared" si="10"/>
        <v>4.6399999999999997</v>
      </c>
      <c r="L683" s="1" t="str">
        <f>_xlfn.XLOOKUP(A683,satellite_programs!A:A,satellite_programs!N:N)</f>
        <v>Operations</v>
      </c>
    </row>
    <row r="684" spans="1:12" x14ac:dyDescent="0.5">
      <c r="A684" s="1" t="s">
        <v>83</v>
      </c>
      <c r="B684" s="1" t="s">
        <v>32</v>
      </c>
      <c r="C684" s="1" t="s">
        <v>33</v>
      </c>
      <c r="D684" s="1">
        <v>2022</v>
      </c>
      <c r="E684" s="1" t="s">
        <v>104</v>
      </c>
      <c r="F684" s="1">
        <v>5.67</v>
      </c>
      <c r="G684" s="1">
        <v>4.26</v>
      </c>
      <c r="H684" s="1">
        <v>0</v>
      </c>
      <c r="I684" s="1">
        <v>0</v>
      </c>
      <c r="J684" s="1">
        <v>0</v>
      </c>
      <c r="K684" s="1">
        <f t="shared" si="10"/>
        <v>9.93</v>
      </c>
      <c r="L684" s="1" t="str">
        <f>_xlfn.XLOOKUP(A684,satellite_programs!A:A,satellite_programs!N:N)</f>
        <v>Operations</v>
      </c>
    </row>
    <row r="685" spans="1:12" x14ac:dyDescent="0.5">
      <c r="A685" s="1" t="s">
        <v>83</v>
      </c>
      <c r="B685" s="1" t="s">
        <v>32</v>
      </c>
      <c r="C685" s="1" t="s">
        <v>33</v>
      </c>
      <c r="D685" s="1">
        <v>2023</v>
      </c>
      <c r="E685" s="1" t="s">
        <v>104</v>
      </c>
      <c r="F685" s="1">
        <v>5.16</v>
      </c>
      <c r="G685" s="1">
        <v>3.48</v>
      </c>
      <c r="H685" s="1">
        <v>0</v>
      </c>
      <c r="I685" s="1">
        <v>0</v>
      </c>
      <c r="J685" s="1">
        <v>0</v>
      </c>
      <c r="K685" s="1">
        <f t="shared" si="10"/>
        <v>8.64</v>
      </c>
      <c r="L685" s="1" t="str">
        <f>_xlfn.XLOOKUP(A685,satellite_programs!A:A,satellite_programs!N:N)</f>
        <v>Operations</v>
      </c>
    </row>
    <row r="686" spans="1:12" x14ac:dyDescent="0.5">
      <c r="A686" s="1" t="s">
        <v>83</v>
      </c>
      <c r="B686" s="1" t="s">
        <v>32</v>
      </c>
      <c r="C686" s="1" t="s">
        <v>33</v>
      </c>
      <c r="D686" s="1">
        <v>2024</v>
      </c>
      <c r="E686" s="1" t="s">
        <v>28</v>
      </c>
      <c r="F686" s="1">
        <v>0</v>
      </c>
      <c r="G686" s="1">
        <v>0</v>
      </c>
      <c r="H686" s="1">
        <v>23.79</v>
      </c>
      <c r="I686" s="1">
        <v>16.149999999999999</v>
      </c>
      <c r="J686" s="1">
        <v>0</v>
      </c>
      <c r="K686" s="1">
        <f t="shared" si="10"/>
        <v>39.94</v>
      </c>
      <c r="L686" s="1" t="str">
        <f>_xlfn.XLOOKUP(A686,satellite_programs!A:A,satellite_programs!N:N)</f>
        <v>Operations</v>
      </c>
    </row>
    <row r="687" spans="1:12" x14ac:dyDescent="0.5">
      <c r="A687" s="1" t="s">
        <v>83</v>
      </c>
      <c r="B687" s="1" t="s">
        <v>32</v>
      </c>
      <c r="C687" s="1" t="s">
        <v>33</v>
      </c>
      <c r="D687" s="1">
        <v>2025</v>
      </c>
      <c r="E687" s="1" t="s">
        <v>28</v>
      </c>
      <c r="F687" s="1">
        <v>0</v>
      </c>
      <c r="G687" s="1">
        <v>0</v>
      </c>
      <c r="H687" s="1">
        <v>23.79</v>
      </c>
      <c r="I687" s="1">
        <v>16.63</v>
      </c>
      <c r="J687" s="1">
        <v>0</v>
      </c>
      <c r="K687" s="1">
        <f t="shared" si="10"/>
        <v>40.42</v>
      </c>
      <c r="L687" s="1" t="str">
        <f>_xlfn.XLOOKUP(A687,satellite_programs!A:A,satellite_programs!N:N)</f>
        <v>Operations</v>
      </c>
    </row>
    <row r="688" spans="1:12" x14ac:dyDescent="0.5">
      <c r="A688" s="1" t="s">
        <v>83</v>
      </c>
      <c r="B688" s="1" t="s">
        <v>32</v>
      </c>
      <c r="C688" s="1" t="s">
        <v>33</v>
      </c>
      <c r="D688" s="1">
        <v>2026</v>
      </c>
      <c r="E688" s="1" t="s">
        <v>28</v>
      </c>
      <c r="F688" s="1">
        <v>0</v>
      </c>
      <c r="G688" s="1">
        <v>0</v>
      </c>
      <c r="H688" s="1">
        <v>23.79</v>
      </c>
      <c r="I688" s="1">
        <v>17.12</v>
      </c>
      <c r="J688" s="1">
        <v>0</v>
      </c>
      <c r="K688" s="1">
        <f t="shared" si="10"/>
        <v>40.909999999999997</v>
      </c>
      <c r="L688" s="1" t="str">
        <f>_xlfn.XLOOKUP(A688,satellite_programs!A:A,satellite_programs!N:N)</f>
        <v>Operations</v>
      </c>
    </row>
    <row r="689" spans="1:12" x14ac:dyDescent="0.5">
      <c r="A689" s="1" t="s">
        <v>83</v>
      </c>
      <c r="B689" s="1" t="s">
        <v>32</v>
      </c>
      <c r="C689" s="1" t="s">
        <v>33</v>
      </c>
      <c r="D689" s="1">
        <v>2027</v>
      </c>
      <c r="E689" s="1" t="s">
        <v>28</v>
      </c>
      <c r="F689" s="1">
        <v>0</v>
      </c>
      <c r="G689" s="1">
        <v>0</v>
      </c>
      <c r="H689" s="1">
        <v>23.79</v>
      </c>
      <c r="I689" s="1">
        <v>17.600000000000001</v>
      </c>
      <c r="J689" s="1">
        <v>0</v>
      </c>
      <c r="K689" s="1">
        <f t="shared" si="10"/>
        <v>41.39</v>
      </c>
      <c r="L689" s="1" t="str">
        <f>_xlfn.XLOOKUP(A689,satellite_programs!A:A,satellite_programs!N:N)</f>
        <v>Operations</v>
      </c>
    </row>
    <row r="690" spans="1:12" x14ac:dyDescent="0.5">
      <c r="A690" s="1" t="s">
        <v>83</v>
      </c>
      <c r="B690" s="1" t="s">
        <v>32</v>
      </c>
      <c r="C690" s="1" t="s">
        <v>33</v>
      </c>
      <c r="D690" s="1">
        <v>2028</v>
      </c>
      <c r="E690" s="1" t="s">
        <v>28</v>
      </c>
      <c r="F690" s="1">
        <v>0</v>
      </c>
      <c r="G690" s="1">
        <v>0</v>
      </c>
      <c r="H690" s="1">
        <v>23.79</v>
      </c>
      <c r="I690" s="1">
        <v>18.09</v>
      </c>
      <c r="J690" s="1">
        <v>0</v>
      </c>
      <c r="K690" s="1">
        <f t="shared" si="10"/>
        <v>41.879999999999995</v>
      </c>
      <c r="L690" s="1" t="str">
        <f>_xlfn.XLOOKUP(A690,satellite_programs!A:A,satellite_programs!N:N)</f>
        <v>Operations</v>
      </c>
    </row>
    <row r="691" spans="1:12" x14ac:dyDescent="0.5">
      <c r="A691" s="1" t="s">
        <v>83</v>
      </c>
      <c r="B691" s="1" t="s">
        <v>32</v>
      </c>
      <c r="C691" s="1" t="s">
        <v>33</v>
      </c>
      <c r="D691" s="1">
        <v>2029</v>
      </c>
      <c r="E691" s="1" t="s">
        <v>28</v>
      </c>
      <c r="F691" s="1">
        <v>0</v>
      </c>
      <c r="G691" s="1">
        <v>0</v>
      </c>
      <c r="H691" s="1">
        <v>23.79</v>
      </c>
      <c r="I691" s="1">
        <v>18.57</v>
      </c>
      <c r="J691" s="1">
        <v>0</v>
      </c>
      <c r="K691" s="1">
        <f t="shared" si="10"/>
        <v>42.36</v>
      </c>
      <c r="L691" s="1" t="str">
        <f>_xlfn.XLOOKUP(A691,satellite_programs!A:A,satellite_programs!N:N)</f>
        <v>Operations</v>
      </c>
    </row>
    <row r="692" spans="1:12" x14ac:dyDescent="0.5">
      <c r="A692" s="1" t="s">
        <v>83</v>
      </c>
      <c r="B692" s="1" t="s">
        <v>32</v>
      </c>
      <c r="C692" s="1" t="s">
        <v>33</v>
      </c>
      <c r="D692" s="1">
        <v>2030</v>
      </c>
      <c r="E692" s="1" t="s">
        <v>28</v>
      </c>
      <c r="F692" s="1">
        <v>0</v>
      </c>
      <c r="G692" s="1">
        <v>0</v>
      </c>
      <c r="H692" s="1">
        <v>23.79</v>
      </c>
      <c r="I692" s="1">
        <v>19.059999999999999</v>
      </c>
      <c r="J692" s="1">
        <v>0</v>
      </c>
      <c r="K692" s="1">
        <f t="shared" si="10"/>
        <v>42.849999999999994</v>
      </c>
      <c r="L692" s="1" t="str">
        <f>_xlfn.XLOOKUP(A692,satellite_programs!A:A,satellite_programs!N:N)</f>
        <v>Operations</v>
      </c>
    </row>
    <row r="693" spans="1:12" x14ac:dyDescent="0.5">
      <c r="A693" s="1" t="s">
        <v>83</v>
      </c>
      <c r="B693" s="1" t="s">
        <v>32</v>
      </c>
      <c r="C693" s="1" t="s">
        <v>33</v>
      </c>
      <c r="D693" s="1">
        <v>2032</v>
      </c>
      <c r="E693" s="1" t="s">
        <v>103</v>
      </c>
      <c r="F693" s="1">
        <v>0</v>
      </c>
      <c r="G693" s="1">
        <v>0</v>
      </c>
      <c r="H693" s="1">
        <v>0</v>
      </c>
      <c r="I693" s="1">
        <v>0</v>
      </c>
      <c r="J693" s="1">
        <v>8.1999999999999993</v>
      </c>
      <c r="K693" s="1">
        <f t="shared" si="10"/>
        <v>8.1999999999999993</v>
      </c>
      <c r="L693" s="1" t="str">
        <f>_xlfn.XLOOKUP(A693,satellite_programs!A:A,satellite_programs!N:N)</f>
        <v>Operations</v>
      </c>
    </row>
    <row r="694" spans="1:12" x14ac:dyDescent="0.5">
      <c r="A694" s="1" t="s">
        <v>73</v>
      </c>
      <c r="B694" s="1" t="s">
        <v>74</v>
      </c>
      <c r="C694" s="1" t="s">
        <v>33</v>
      </c>
      <c r="D694" s="1">
        <v>2005</v>
      </c>
      <c r="E694" s="1" t="s">
        <v>104</v>
      </c>
      <c r="F694" s="1">
        <v>1.56</v>
      </c>
      <c r="G694" s="1">
        <v>0</v>
      </c>
      <c r="H694" s="1">
        <v>0</v>
      </c>
      <c r="I694" s="1">
        <v>0</v>
      </c>
      <c r="J694" s="1">
        <v>0</v>
      </c>
      <c r="K694" s="1">
        <f t="shared" si="10"/>
        <v>1.56</v>
      </c>
      <c r="L694" s="1" t="str">
        <f>_xlfn.XLOOKUP(A694,satellite_programs!A:A,satellite_programs!N:N)</f>
        <v>Retired</v>
      </c>
    </row>
    <row r="695" spans="1:12" x14ac:dyDescent="0.5">
      <c r="A695" s="1" t="s">
        <v>73</v>
      </c>
      <c r="B695" s="1" t="s">
        <v>74</v>
      </c>
      <c r="C695" s="1" t="s">
        <v>33</v>
      </c>
      <c r="D695" s="1">
        <v>2006</v>
      </c>
      <c r="E695" s="1" t="s">
        <v>104</v>
      </c>
      <c r="F695" s="1">
        <v>3.13</v>
      </c>
      <c r="G695" s="1">
        <v>0</v>
      </c>
      <c r="H695" s="1">
        <v>0</v>
      </c>
      <c r="I695" s="1">
        <v>0</v>
      </c>
      <c r="J695" s="1">
        <v>0</v>
      </c>
      <c r="K695" s="1">
        <f t="shared" si="10"/>
        <v>3.13</v>
      </c>
      <c r="L695" s="1" t="str">
        <f>_xlfn.XLOOKUP(A695,satellite_programs!A:A,satellite_programs!N:N)</f>
        <v>Retired</v>
      </c>
    </row>
    <row r="696" spans="1:12" x14ac:dyDescent="0.5">
      <c r="A696" s="1" t="s">
        <v>73</v>
      </c>
      <c r="B696" s="1" t="s">
        <v>74</v>
      </c>
      <c r="C696" s="1" t="s">
        <v>33</v>
      </c>
      <c r="D696" s="1">
        <v>2007</v>
      </c>
      <c r="E696" s="1" t="s">
        <v>104</v>
      </c>
      <c r="F696" s="1">
        <v>5.63</v>
      </c>
      <c r="G696" s="1">
        <v>0</v>
      </c>
      <c r="H696" s="1">
        <v>0</v>
      </c>
      <c r="I696" s="1">
        <v>0</v>
      </c>
      <c r="J696" s="1">
        <v>0</v>
      </c>
      <c r="K696" s="1">
        <f t="shared" si="10"/>
        <v>5.63</v>
      </c>
      <c r="L696" s="1" t="str">
        <f>_xlfn.XLOOKUP(A696,satellite_programs!A:A,satellite_programs!N:N)</f>
        <v>Retired</v>
      </c>
    </row>
    <row r="697" spans="1:12" x14ac:dyDescent="0.5">
      <c r="A697" s="1" t="s">
        <v>73</v>
      </c>
      <c r="B697" s="1" t="s">
        <v>74</v>
      </c>
      <c r="C697" s="1" t="s">
        <v>33</v>
      </c>
      <c r="D697" s="1">
        <v>2008</v>
      </c>
      <c r="E697" s="1" t="s">
        <v>104</v>
      </c>
      <c r="F697" s="1">
        <v>6.88</v>
      </c>
      <c r="G697" s="1">
        <v>5.16</v>
      </c>
      <c r="H697" s="1">
        <v>0</v>
      </c>
      <c r="I697" s="1">
        <v>0</v>
      </c>
      <c r="J697" s="1">
        <v>0</v>
      </c>
      <c r="K697" s="1">
        <f t="shared" si="10"/>
        <v>12.04</v>
      </c>
      <c r="L697" s="1" t="str">
        <f>_xlfn.XLOOKUP(A697,satellite_programs!A:A,satellite_programs!N:N)</f>
        <v>Retired</v>
      </c>
    </row>
    <row r="698" spans="1:12" x14ac:dyDescent="0.5">
      <c r="A698" s="1" t="s">
        <v>73</v>
      </c>
      <c r="B698" s="1" t="s">
        <v>74</v>
      </c>
      <c r="C698" s="1" t="s">
        <v>33</v>
      </c>
      <c r="D698" s="1">
        <v>2009</v>
      </c>
      <c r="E698" s="1" t="s">
        <v>104</v>
      </c>
      <c r="F698" s="1">
        <v>6.24</v>
      </c>
      <c r="G698" s="1">
        <v>4.22</v>
      </c>
      <c r="H698" s="1">
        <v>0</v>
      </c>
      <c r="I698" s="1">
        <v>0</v>
      </c>
      <c r="J698" s="1">
        <v>0</v>
      </c>
      <c r="K698" s="1">
        <f t="shared" si="10"/>
        <v>10.46</v>
      </c>
      <c r="L698" s="1" t="str">
        <f>_xlfn.XLOOKUP(A698,satellite_programs!A:A,satellite_programs!N:N)</f>
        <v>Retired</v>
      </c>
    </row>
    <row r="699" spans="1:12" x14ac:dyDescent="0.5">
      <c r="A699" s="1" t="s">
        <v>73</v>
      </c>
      <c r="B699" s="1" t="s">
        <v>74</v>
      </c>
      <c r="C699" s="1" t="s">
        <v>33</v>
      </c>
      <c r="D699" s="1">
        <v>2010</v>
      </c>
      <c r="E699" s="1" t="s">
        <v>28</v>
      </c>
      <c r="F699" s="1">
        <v>0</v>
      </c>
      <c r="G699" s="1">
        <v>0</v>
      </c>
      <c r="H699" s="1">
        <v>22.04</v>
      </c>
      <c r="I699" s="1">
        <v>16.02</v>
      </c>
      <c r="J699" s="1">
        <v>0</v>
      </c>
      <c r="K699" s="1">
        <f t="shared" si="10"/>
        <v>38.06</v>
      </c>
      <c r="L699" s="1" t="str">
        <f>_xlfn.XLOOKUP(A699,satellite_programs!A:A,satellite_programs!N:N)</f>
        <v>Retired</v>
      </c>
    </row>
    <row r="700" spans="1:12" x14ac:dyDescent="0.5">
      <c r="A700" s="1" t="s">
        <v>73</v>
      </c>
      <c r="B700" s="1" t="s">
        <v>74</v>
      </c>
      <c r="C700" s="1" t="s">
        <v>33</v>
      </c>
      <c r="D700" s="1">
        <v>2011</v>
      </c>
      <c r="E700" s="1" t="s">
        <v>28</v>
      </c>
      <c r="F700" s="1">
        <v>0</v>
      </c>
      <c r="G700" s="1">
        <v>0</v>
      </c>
      <c r="H700" s="1">
        <v>22.04</v>
      </c>
      <c r="I700" s="1">
        <v>16.5</v>
      </c>
      <c r="J700" s="1">
        <v>0</v>
      </c>
      <c r="K700" s="1">
        <f t="shared" si="10"/>
        <v>38.54</v>
      </c>
      <c r="L700" s="1" t="str">
        <f>_xlfn.XLOOKUP(A700,satellite_programs!A:A,satellite_programs!N:N)</f>
        <v>Retired</v>
      </c>
    </row>
    <row r="701" spans="1:12" x14ac:dyDescent="0.5">
      <c r="A701" s="1" t="s">
        <v>73</v>
      </c>
      <c r="B701" s="1" t="s">
        <v>74</v>
      </c>
      <c r="C701" s="1" t="s">
        <v>33</v>
      </c>
      <c r="D701" s="1">
        <v>2012</v>
      </c>
      <c r="E701" s="1" t="s">
        <v>28</v>
      </c>
      <c r="F701" s="1">
        <v>0</v>
      </c>
      <c r="G701" s="1">
        <v>0</v>
      </c>
      <c r="H701" s="1">
        <v>22.04</v>
      </c>
      <c r="I701" s="1">
        <v>16.98</v>
      </c>
      <c r="J701" s="1">
        <v>0</v>
      </c>
      <c r="K701" s="1">
        <f t="shared" si="10"/>
        <v>39.019999999999996</v>
      </c>
      <c r="L701" s="1" t="str">
        <f>_xlfn.XLOOKUP(A701,satellite_programs!A:A,satellite_programs!N:N)</f>
        <v>Retired</v>
      </c>
    </row>
    <row r="702" spans="1:12" x14ac:dyDescent="0.5">
      <c r="A702" s="1" t="s">
        <v>73</v>
      </c>
      <c r="B702" s="1" t="s">
        <v>74</v>
      </c>
      <c r="C702" s="1" t="s">
        <v>33</v>
      </c>
      <c r="D702" s="1">
        <v>2014</v>
      </c>
      <c r="E702" s="1" t="s">
        <v>103</v>
      </c>
      <c r="F702" s="1">
        <v>0</v>
      </c>
      <c r="G702" s="1">
        <v>0</v>
      </c>
      <c r="H702" s="1">
        <v>0</v>
      </c>
      <c r="I702" s="1">
        <v>0</v>
      </c>
      <c r="J702" s="1">
        <v>8.2200000000000006</v>
      </c>
      <c r="K702" s="1">
        <f t="shared" si="10"/>
        <v>8.2200000000000006</v>
      </c>
      <c r="L702" s="1" t="str">
        <f>_xlfn.XLOOKUP(A702,satellite_programs!A:A,satellite_programs!N:N)</f>
        <v>Retired</v>
      </c>
    </row>
    <row r="703" spans="1:12" x14ac:dyDescent="0.5">
      <c r="A703" s="1" t="s">
        <v>75</v>
      </c>
      <c r="B703" s="1" t="s">
        <v>74</v>
      </c>
      <c r="C703" s="1" t="s">
        <v>33</v>
      </c>
      <c r="D703" s="1">
        <v>2007</v>
      </c>
      <c r="E703" s="1" t="s">
        <v>104</v>
      </c>
      <c r="F703" s="1">
        <v>1.88</v>
      </c>
      <c r="G703" s="1">
        <v>0</v>
      </c>
      <c r="H703" s="1">
        <v>0</v>
      </c>
      <c r="I703" s="1">
        <v>0</v>
      </c>
      <c r="J703" s="1">
        <v>0</v>
      </c>
      <c r="K703" s="1">
        <f t="shared" si="10"/>
        <v>1.88</v>
      </c>
      <c r="L703" s="1" t="str">
        <f>_xlfn.XLOOKUP(A703,satellite_programs!A:A,satellite_programs!N:N)</f>
        <v>Retired</v>
      </c>
    </row>
    <row r="704" spans="1:12" x14ac:dyDescent="0.5">
      <c r="A704" s="1" t="s">
        <v>75</v>
      </c>
      <c r="B704" s="1" t="s">
        <v>74</v>
      </c>
      <c r="C704" s="1" t="s">
        <v>33</v>
      </c>
      <c r="D704" s="1">
        <v>2008</v>
      </c>
      <c r="E704" s="1" t="s">
        <v>104</v>
      </c>
      <c r="F704" s="1">
        <v>3.75</v>
      </c>
      <c r="G704" s="1">
        <v>0</v>
      </c>
      <c r="H704" s="1">
        <v>0</v>
      </c>
      <c r="I704" s="1">
        <v>0</v>
      </c>
      <c r="J704" s="1">
        <v>0</v>
      </c>
      <c r="K704" s="1">
        <f t="shared" si="10"/>
        <v>3.75</v>
      </c>
      <c r="L704" s="1" t="str">
        <f>_xlfn.XLOOKUP(A704,satellite_programs!A:A,satellite_programs!N:N)</f>
        <v>Retired</v>
      </c>
    </row>
    <row r="705" spans="1:12" x14ac:dyDescent="0.5">
      <c r="A705" s="1" t="s">
        <v>75</v>
      </c>
      <c r="B705" s="1" t="s">
        <v>74</v>
      </c>
      <c r="C705" s="1" t="s">
        <v>33</v>
      </c>
      <c r="D705" s="1">
        <v>2009</v>
      </c>
      <c r="E705" s="1" t="s">
        <v>104</v>
      </c>
      <c r="F705" s="1">
        <v>6.75</v>
      </c>
      <c r="G705" s="1">
        <v>0</v>
      </c>
      <c r="H705" s="1">
        <v>0</v>
      </c>
      <c r="I705" s="1">
        <v>0</v>
      </c>
      <c r="J705" s="1">
        <v>0</v>
      </c>
      <c r="K705" s="1">
        <f t="shared" si="10"/>
        <v>6.75</v>
      </c>
      <c r="L705" s="1" t="str">
        <f>_xlfn.XLOOKUP(A705,satellite_programs!A:A,satellite_programs!N:N)</f>
        <v>Retired</v>
      </c>
    </row>
    <row r="706" spans="1:12" x14ac:dyDescent="0.5">
      <c r="A706" s="1" t="s">
        <v>75</v>
      </c>
      <c r="B706" s="1" t="s">
        <v>74</v>
      </c>
      <c r="C706" s="1" t="s">
        <v>33</v>
      </c>
      <c r="D706" s="1">
        <v>2010</v>
      </c>
      <c r="E706" s="1" t="s">
        <v>104</v>
      </c>
      <c r="F706" s="1">
        <v>8.25</v>
      </c>
      <c r="G706" s="1">
        <v>6.19</v>
      </c>
      <c r="H706" s="1">
        <v>0</v>
      </c>
      <c r="I706" s="1">
        <v>0</v>
      </c>
      <c r="J706" s="1">
        <v>0</v>
      </c>
      <c r="K706" s="1">
        <f t="shared" ref="K706:K769" si="11">SUM(F706:J706)</f>
        <v>14.440000000000001</v>
      </c>
      <c r="L706" s="1" t="str">
        <f>_xlfn.XLOOKUP(A706,satellite_programs!A:A,satellite_programs!N:N)</f>
        <v>Retired</v>
      </c>
    </row>
    <row r="707" spans="1:12" x14ac:dyDescent="0.5">
      <c r="A707" s="1" t="s">
        <v>75</v>
      </c>
      <c r="B707" s="1" t="s">
        <v>74</v>
      </c>
      <c r="C707" s="1" t="s">
        <v>33</v>
      </c>
      <c r="D707" s="1">
        <v>2011</v>
      </c>
      <c r="E707" s="1" t="s">
        <v>104</v>
      </c>
      <c r="F707" s="1">
        <v>7.5</v>
      </c>
      <c r="G707" s="1">
        <v>5.0599999999999996</v>
      </c>
      <c r="H707" s="1">
        <v>0</v>
      </c>
      <c r="I707" s="1">
        <v>0</v>
      </c>
      <c r="J707" s="1">
        <v>0</v>
      </c>
      <c r="K707" s="1">
        <f t="shared" si="11"/>
        <v>12.559999999999999</v>
      </c>
      <c r="L707" s="1" t="str">
        <f>_xlfn.XLOOKUP(A707,satellite_programs!A:A,satellite_programs!N:N)</f>
        <v>Retired</v>
      </c>
    </row>
    <row r="708" spans="1:12" x14ac:dyDescent="0.5">
      <c r="A708" s="1" t="s">
        <v>75</v>
      </c>
      <c r="B708" s="1" t="s">
        <v>74</v>
      </c>
      <c r="C708" s="1" t="s">
        <v>33</v>
      </c>
      <c r="D708" s="1">
        <v>2012</v>
      </c>
      <c r="E708" s="1" t="s">
        <v>28</v>
      </c>
      <c r="F708" s="1">
        <v>0</v>
      </c>
      <c r="G708" s="1">
        <v>0</v>
      </c>
      <c r="H708" s="1">
        <v>23.98</v>
      </c>
      <c r="I708" s="1">
        <v>16.32</v>
      </c>
      <c r="J708" s="1">
        <v>0</v>
      </c>
      <c r="K708" s="1">
        <f t="shared" si="11"/>
        <v>40.299999999999997</v>
      </c>
      <c r="L708" s="1" t="str">
        <f>_xlfn.XLOOKUP(A708,satellite_programs!A:A,satellite_programs!N:N)</f>
        <v>Retired</v>
      </c>
    </row>
    <row r="709" spans="1:12" x14ac:dyDescent="0.5">
      <c r="A709" s="1" t="s">
        <v>75</v>
      </c>
      <c r="B709" s="1" t="s">
        <v>74</v>
      </c>
      <c r="C709" s="1" t="s">
        <v>33</v>
      </c>
      <c r="D709" s="1">
        <v>2013</v>
      </c>
      <c r="E709" s="1" t="s">
        <v>28</v>
      </c>
      <c r="F709" s="1">
        <v>0</v>
      </c>
      <c r="G709" s="1">
        <v>0</v>
      </c>
      <c r="H709" s="1">
        <v>23.98</v>
      </c>
      <c r="I709" s="1">
        <v>16.809999999999999</v>
      </c>
      <c r="J709" s="1">
        <v>0</v>
      </c>
      <c r="K709" s="1">
        <f t="shared" si="11"/>
        <v>40.79</v>
      </c>
      <c r="L709" s="1" t="str">
        <f>_xlfn.XLOOKUP(A709,satellite_programs!A:A,satellite_programs!N:N)</f>
        <v>Retired</v>
      </c>
    </row>
    <row r="710" spans="1:12" x14ac:dyDescent="0.5">
      <c r="A710" s="1" t="s">
        <v>75</v>
      </c>
      <c r="B710" s="1" t="s">
        <v>74</v>
      </c>
      <c r="C710" s="1" t="s">
        <v>33</v>
      </c>
      <c r="D710" s="1">
        <v>2014</v>
      </c>
      <c r="E710" s="1" t="s">
        <v>28</v>
      </c>
      <c r="F710" s="1">
        <v>0</v>
      </c>
      <c r="G710" s="1">
        <v>0</v>
      </c>
      <c r="H710" s="1">
        <v>23.98</v>
      </c>
      <c r="I710" s="1">
        <v>17.3</v>
      </c>
      <c r="J710" s="1">
        <v>0</v>
      </c>
      <c r="K710" s="1">
        <f t="shared" si="11"/>
        <v>41.28</v>
      </c>
      <c r="L710" s="1" t="str">
        <f>_xlfn.XLOOKUP(A710,satellite_programs!A:A,satellite_programs!N:N)</f>
        <v>Retired</v>
      </c>
    </row>
    <row r="711" spans="1:12" x14ac:dyDescent="0.5">
      <c r="A711" s="1" t="s">
        <v>75</v>
      </c>
      <c r="B711" s="1" t="s">
        <v>74</v>
      </c>
      <c r="C711" s="1" t="s">
        <v>33</v>
      </c>
      <c r="D711" s="1">
        <v>2016</v>
      </c>
      <c r="E711" s="1" t="s">
        <v>103</v>
      </c>
      <c r="F711" s="1">
        <v>0</v>
      </c>
      <c r="G711" s="1">
        <v>0</v>
      </c>
      <c r="H711" s="1">
        <v>0</v>
      </c>
      <c r="I711" s="1">
        <v>0</v>
      </c>
      <c r="J711" s="1">
        <v>8.2899999999999991</v>
      </c>
      <c r="K711" s="1">
        <f t="shared" si="11"/>
        <v>8.2899999999999991</v>
      </c>
      <c r="L711" s="1" t="str">
        <f>_xlfn.XLOOKUP(A711,satellite_programs!A:A,satellite_programs!N:N)</f>
        <v>Retired</v>
      </c>
    </row>
    <row r="712" spans="1:12" x14ac:dyDescent="0.5">
      <c r="A712" s="1" t="s">
        <v>76</v>
      </c>
      <c r="B712" s="1" t="s">
        <v>74</v>
      </c>
      <c r="C712" s="1" t="s">
        <v>33</v>
      </c>
      <c r="D712" s="1">
        <v>2009</v>
      </c>
      <c r="E712" s="1" t="s">
        <v>104</v>
      </c>
      <c r="F712" s="1">
        <v>1.84</v>
      </c>
      <c r="G712" s="1">
        <v>0</v>
      </c>
      <c r="H712" s="1">
        <v>0</v>
      </c>
      <c r="I712" s="1">
        <v>0</v>
      </c>
      <c r="J712" s="1">
        <v>0</v>
      </c>
      <c r="K712" s="1">
        <f t="shared" si="11"/>
        <v>1.84</v>
      </c>
      <c r="L712" s="1" t="str">
        <f>_xlfn.XLOOKUP(A712,satellite_programs!A:A,satellite_programs!N:N)</f>
        <v>Retired</v>
      </c>
    </row>
    <row r="713" spans="1:12" x14ac:dyDescent="0.5">
      <c r="A713" s="1" t="s">
        <v>76</v>
      </c>
      <c r="B713" s="1" t="s">
        <v>74</v>
      </c>
      <c r="C713" s="1" t="s">
        <v>33</v>
      </c>
      <c r="D713" s="1">
        <v>2010</v>
      </c>
      <c r="E713" s="1" t="s">
        <v>104</v>
      </c>
      <c r="F713" s="1">
        <v>3.68</v>
      </c>
      <c r="G713" s="1">
        <v>0</v>
      </c>
      <c r="H713" s="1">
        <v>0</v>
      </c>
      <c r="I713" s="1">
        <v>0</v>
      </c>
      <c r="J713" s="1">
        <v>0</v>
      </c>
      <c r="K713" s="1">
        <f t="shared" si="11"/>
        <v>3.68</v>
      </c>
      <c r="L713" s="1" t="str">
        <f>_xlfn.XLOOKUP(A713,satellite_programs!A:A,satellite_programs!N:N)</f>
        <v>Retired</v>
      </c>
    </row>
    <row r="714" spans="1:12" x14ac:dyDescent="0.5">
      <c r="A714" s="1" t="s">
        <v>76</v>
      </c>
      <c r="B714" s="1" t="s">
        <v>74</v>
      </c>
      <c r="C714" s="1" t="s">
        <v>33</v>
      </c>
      <c r="D714" s="1">
        <v>2011</v>
      </c>
      <c r="E714" s="1" t="s">
        <v>104</v>
      </c>
      <c r="F714" s="1">
        <v>6.63</v>
      </c>
      <c r="G714" s="1">
        <v>0</v>
      </c>
      <c r="H714" s="1">
        <v>0</v>
      </c>
      <c r="I714" s="1">
        <v>0</v>
      </c>
      <c r="J714" s="1">
        <v>0</v>
      </c>
      <c r="K714" s="1">
        <f t="shared" si="11"/>
        <v>6.63</v>
      </c>
      <c r="L714" s="1" t="str">
        <f>_xlfn.XLOOKUP(A714,satellite_programs!A:A,satellite_programs!N:N)</f>
        <v>Retired</v>
      </c>
    </row>
    <row r="715" spans="1:12" x14ac:dyDescent="0.5">
      <c r="A715" s="1" t="s">
        <v>76</v>
      </c>
      <c r="B715" s="1" t="s">
        <v>74</v>
      </c>
      <c r="C715" s="1" t="s">
        <v>33</v>
      </c>
      <c r="D715" s="1">
        <v>2012</v>
      </c>
      <c r="E715" s="1" t="s">
        <v>104</v>
      </c>
      <c r="F715" s="1">
        <v>8.1</v>
      </c>
      <c r="G715" s="1">
        <v>6.08</v>
      </c>
      <c r="H715" s="1">
        <v>0</v>
      </c>
      <c r="I715" s="1">
        <v>0</v>
      </c>
      <c r="J715" s="1">
        <v>0</v>
      </c>
      <c r="K715" s="1">
        <f t="shared" si="11"/>
        <v>14.18</v>
      </c>
      <c r="L715" s="1" t="str">
        <f>_xlfn.XLOOKUP(A715,satellite_programs!A:A,satellite_programs!N:N)</f>
        <v>Retired</v>
      </c>
    </row>
    <row r="716" spans="1:12" x14ac:dyDescent="0.5">
      <c r="A716" s="1" t="s">
        <v>76</v>
      </c>
      <c r="B716" s="1" t="s">
        <v>74</v>
      </c>
      <c r="C716" s="1" t="s">
        <v>33</v>
      </c>
      <c r="D716" s="1">
        <v>2013</v>
      </c>
      <c r="E716" s="1" t="s">
        <v>104</v>
      </c>
      <c r="F716" s="1">
        <v>7.38</v>
      </c>
      <c r="G716" s="1">
        <v>4.97</v>
      </c>
      <c r="H716" s="1">
        <v>0</v>
      </c>
      <c r="I716" s="1">
        <v>0</v>
      </c>
      <c r="J716" s="1">
        <v>0</v>
      </c>
      <c r="K716" s="1">
        <f t="shared" si="11"/>
        <v>12.35</v>
      </c>
      <c r="L716" s="1" t="str">
        <f>_xlfn.XLOOKUP(A716,satellite_programs!A:A,satellite_programs!N:N)</f>
        <v>Retired</v>
      </c>
    </row>
    <row r="717" spans="1:12" x14ac:dyDescent="0.5">
      <c r="A717" s="1" t="s">
        <v>76</v>
      </c>
      <c r="B717" s="1" t="s">
        <v>74</v>
      </c>
      <c r="C717" s="1" t="s">
        <v>33</v>
      </c>
      <c r="D717" s="1">
        <v>2014</v>
      </c>
      <c r="E717" s="1" t="s">
        <v>28</v>
      </c>
      <c r="F717" s="1">
        <v>0</v>
      </c>
      <c r="G717" s="1">
        <v>0</v>
      </c>
      <c r="H717" s="1">
        <v>24.16</v>
      </c>
      <c r="I717" s="1">
        <v>16.68</v>
      </c>
      <c r="J717" s="1">
        <v>0</v>
      </c>
      <c r="K717" s="1">
        <f t="shared" si="11"/>
        <v>40.840000000000003</v>
      </c>
      <c r="L717" s="1" t="str">
        <f>_xlfn.XLOOKUP(A717,satellite_programs!A:A,satellite_programs!N:N)</f>
        <v>Retired</v>
      </c>
    </row>
    <row r="718" spans="1:12" x14ac:dyDescent="0.5">
      <c r="A718" s="1" t="s">
        <v>76</v>
      </c>
      <c r="B718" s="1" t="s">
        <v>74</v>
      </c>
      <c r="C718" s="1" t="s">
        <v>33</v>
      </c>
      <c r="D718" s="1">
        <v>2015</v>
      </c>
      <c r="E718" s="1" t="s">
        <v>28</v>
      </c>
      <c r="F718" s="1">
        <v>0</v>
      </c>
      <c r="G718" s="1">
        <v>0</v>
      </c>
      <c r="H718" s="1">
        <v>24.16</v>
      </c>
      <c r="I718" s="1">
        <v>17.18</v>
      </c>
      <c r="J718" s="1">
        <v>0</v>
      </c>
      <c r="K718" s="1">
        <f t="shared" si="11"/>
        <v>41.34</v>
      </c>
      <c r="L718" s="1" t="str">
        <f>_xlfn.XLOOKUP(A718,satellite_programs!A:A,satellite_programs!N:N)</f>
        <v>Retired</v>
      </c>
    </row>
    <row r="719" spans="1:12" x14ac:dyDescent="0.5">
      <c r="A719" s="1" t="s">
        <v>76</v>
      </c>
      <c r="B719" s="1" t="s">
        <v>74</v>
      </c>
      <c r="C719" s="1" t="s">
        <v>33</v>
      </c>
      <c r="D719" s="1">
        <v>2016</v>
      </c>
      <c r="E719" s="1" t="s">
        <v>28</v>
      </c>
      <c r="F719" s="1">
        <v>0</v>
      </c>
      <c r="G719" s="1">
        <v>0</v>
      </c>
      <c r="H719" s="1">
        <v>24.16</v>
      </c>
      <c r="I719" s="1">
        <v>17.68</v>
      </c>
      <c r="J719" s="1">
        <v>0</v>
      </c>
      <c r="K719" s="1">
        <f t="shared" si="11"/>
        <v>41.84</v>
      </c>
      <c r="L719" s="1" t="str">
        <f>_xlfn.XLOOKUP(A719,satellite_programs!A:A,satellite_programs!N:N)</f>
        <v>Retired</v>
      </c>
    </row>
    <row r="720" spans="1:12" x14ac:dyDescent="0.5">
      <c r="A720" s="1" t="s">
        <v>76</v>
      </c>
      <c r="B720" s="1" t="s">
        <v>74</v>
      </c>
      <c r="C720" s="1" t="s">
        <v>33</v>
      </c>
      <c r="D720" s="1">
        <v>2018</v>
      </c>
      <c r="E720" s="1" t="s">
        <v>103</v>
      </c>
      <c r="F720" s="1">
        <v>0</v>
      </c>
      <c r="G720" s="1">
        <v>0</v>
      </c>
      <c r="H720" s="1">
        <v>0</v>
      </c>
      <c r="I720" s="1">
        <v>0</v>
      </c>
      <c r="J720" s="1">
        <v>8.3800000000000008</v>
      </c>
      <c r="K720" s="1">
        <f t="shared" si="11"/>
        <v>8.3800000000000008</v>
      </c>
      <c r="L720" s="1" t="str">
        <f>_xlfn.XLOOKUP(A720,satellite_programs!A:A,satellite_programs!N:N)</f>
        <v>Retired</v>
      </c>
    </row>
    <row r="721" spans="1:12" x14ac:dyDescent="0.5">
      <c r="A721" s="1" t="s">
        <v>77</v>
      </c>
      <c r="B721" s="1" t="s">
        <v>74</v>
      </c>
      <c r="C721" s="1" t="s">
        <v>33</v>
      </c>
      <c r="D721" s="1">
        <v>2011</v>
      </c>
      <c r="E721" s="1" t="s">
        <v>104</v>
      </c>
      <c r="F721" s="1">
        <v>2.5</v>
      </c>
      <c r="G721" s="1">
        <v>0</v>
      </c>
      <c r="H721" s="1">
        <v>0</v>
      </c>
      <c r="I721" s="1">
        <v>0</v>
      </c>
      <c r="J721" s="1">
        <v>0</v>
      </c>
      <c r="K721" s="1">
        <f t="shared" si="11"/>
        <v>2.5</v>
      </c>
      <c r="L721" s="1" t="str">
        <f>_xlfn.XLOOKUP(A721,satellite_programs!A:A,satellite_programs!N:N)</f>
        <v>Retired</v>
      </c>
    </row>
    <row r="722" spans="1:12" x14ac:dyDescent="0.5">
      <c r="A722" s="1" t="s">
        <v>77</v>
      </c>
      <c r="B722" s="1" t="s">
        <v>74</v>
      </c>
      <c r="C722" s="1" t="s">
        <v>33</v>
      </c>
      <c r="D722" s="1">
        <v>2012</v>
      </c>
      <c r="E722" s="1" t="s">
        <v>104</v>
      </c>
      <c r="F722" s="1">
        <v>4.99</v>
      </c>
      <c r="G722" s="1">
        <v>0</v>
      </c>
      <c r="H722" s="1">
        <v>0</v>
      </c>
      <c r="I722" s="1">
        <v>0</v>
      </c>
      <c r="J722" s="1">
        <v>0</v>
      </c>
      <c r="K722" s="1">
        <f t="shared" si="11"/>
        <v>4.99</v>
      </c>
      <c r="L722" s="1" t="str">
        <f>_xlfn.XLOOKUP(A722,satellite_programs!A:A,satellite_programs!N:N)</f>
        <v>Retired</v>
      </c>
    </row>
    <row r="723" spans="1:12" x14ac:dyDescent="0.5">
      <c r="A723" s="1" t="s">
        <v>77</v>
      </c>
      <c r="B723" s="1" t="s">
        <v>74</v>
      </c>
      <c r="C723" s="1" t="s">
        <v>33</v>
      </c>
      <c r="D723" s="1">
        <v>2013</v>
      </c>
      <c r="E723" s="1" t="s">
        <v>104</v>
      </c>
      <c r="F723" s="1">
        <v>8.99</v>
      </c>
      <c r="G723" s="1">
        <v>0</v>
      </c>
      <c r="H723" s="1">
        <v>0</v>
      </c>
      <c r="I723" s="1">
        <v>0</v>
      </c>
      <c r="J723" s="1">
        <v>0</v>
      </c>
      <c r="K723" s="1">
        <f t="shared" si="11"/>
        <v>8.99</v>
      </c>
      <c r="L723" s="1" t="str">
        <f>_xlfn.XLOOKUP(A723,satellite_programs!A:A,satellite_programs!N:N)</f>
        <v>Retired</v>
      </c>
    </row>
    <row r="724" spans="1:12" x14ac:dyDescent="0.5">
      <c r="A724" s="1" t="s">
        <v>77</v>
      </c>
      <c r="B724" s="1" t="s">
        <v>74</v>
      </c>
      <c r="C724" s="1" t="s">
        <v>33</v>
      </c>
      <c r="D724" s="1">
        <v>2014</v>
      </c>
      <c r="E724" s="1" t="s">
        <v>104</v>
      </c>
      <c r="F724" s="1">
        <v>10.98</v>
      </c>
      <c r="G724" s="1">
        <v>8.24</v>
      </c>
      <c r="H724" s="1">
        <v>0</v>
      </c>
      <c r="I724" s="1">
        <v>0</v>
      </c>
      <c r="J724" s="1">
        <v>0</v>
      </c>
      <c r="K724" s="1">
        <f t="shared" si="11"/>
        <v>19.22</v>
      </c>
      <c r="L724" s="1" t="str">
        <f>_xlfn.XLOOKUP(A724,satellite_programs!A:A,satellite_programs!N:N)</f>
        <v>Retired</v>
      </c>
    </row>
    <row r="725" spans="1:12" x14ac:dyDescent="0.5">
      <c r="A725" s="1" t="s">
        <v>77</v>
      </c>
      <c r="B725" s="1" t="s">
        <v>74</v>
      </c>
      <c r="C725" s="1" t="s">
        <v>33</v>
      </c>
      <c r="D725" s="1">
        <v>2015</v>
      </c>
      <c r="E725" s="1" t="s">
        <v>104</v>
      </c>
      <c r="F725" s="1">
        <v>9.98</v>
      </c>
      <c r="G725" s="1">
        <v>6.74</v>
      </c>
      <c r="H725" s="1">
        <v>0</v>
      </c>
      <c r="I725" s="1">
        <v>0</v>
      </c>
      <c r="J725" s="1">
        <v>0</v>
      </c>
      <c r="K725" s="1">
        <f t="shared" si="11"/>
        <v>16.72</v>
      </c>
      <c r="L725" s="1" t="str">
        <f>_xlfn.XLOOKUP(A725,satellite_programs!A:A,satellite_programs!N:N)</f>
        <v>Retired</v>
      </c>
    </row>
    <row r="726" spans="1:12" x14ac:dyDescent="0.5">
      <c r="A726" s="1" t="s">
        <v>77</v>
      </c>
      <c r="B726" s="1" t="s">
        <v>74</v>
      </c>
      <c r="C726" s="1" t="s">
        <v>33</v>
      </c>
      <c r="D726" s="1">
        <v>2016</v>
      </c>
      <c r="E726" s="1" t="s">
        <v>28</v>
      </c>
      <c r="F726" s="1">
        <v>0</v>
      </c>
      <c r="G726" s="1">
        <v>0</v>
      </c>
      <c r="H726" s="1">
        <v>26.16</v>
      </c>
      <c r="I726" s="1">
        <v>17.04</v>
      </c>
      <c r="J726" s="1">
        <v>0</v>
      </c>
      <c r="K726" s="1">
        <f t="shared" si="11"/>
        <v>43.2</v>
      </c>
      <c r="L726" s="1" t="str">
        <f>_xlfn.XLOOKUP(A726,satellite_programs!A:A,satellite_programs!N:N)</f>
        <v>Retired</v>
      </c>
    </row>
    <row r="727" spans="1:12" x14ac:dyDescent="0.5">
      <c r="A727" s="1" t="s">
        <v>77</v>
      </c>
      <c r="B727" s="1" t="s">
        <v>74</v>
      </c>
      <c r="C727" s="1" t="s">
        <v>33</v>
      </c>
      <c r="D727" s="1">
        <v>2017</v>
      </c>
      <c r="E727" s="1" t="s">
        <v>28</v>
      </c>
      <c r="F727" s="1">
        <v>0</v>
      </c>
      <c r="G727" s="1">
        <v>0</v>
      </c>
      <c r="H727" s="1">
        <v>26.16</v>
      </c>
      <c r="I727" s="1">
        <v>17.55</v>
      </c>
      <c r="J727" s="1">
        <v>0</v>
      </c>
      <c r="K727" s="1">
        <f t="shared" si="11"/>
        <v>43.71</v>
      </c>
      <c r="L727" s="1" t="str">
        <f>_xlfn.XLOOKUP(A727,satellite_programs!A:A,satellite_programs!N:N)</f>
        <v>Retired</v>
      </c>
    </row>
    <row r="728" spans="1:12" x14ac:dyDescent="0.5">
      <c r="A728" s="1" t="s">
        <v>77</v>
      </c>
      <c r="B728" s="1" t="s">
        <v>74</v>
      </c>
      <c r="C728" s="1" t="s">
        <v>33</v>
      </c>
      <c r="D728" s="1">
        <v>2018</v>
      </c>
      <c r="E728" s="1" t="s">
        <v>28</v>
      </c>
      <c r="F728" s="1">
        <v>0</v>
      </c>
      <c r="G728" s="1">
        <v>0</v>
      </c>
      <c r="H728" s="1">
        <v>26.16</v>
      </c>
      <c r="I728" s="1">
        <v>18.059999999999999</v>
      </c>
      <c r="J728" s="1">
        <v>0</v>
      </c>
      <c r="K728" s="1">
        <f t="shared" si="11"/>
        <v>44.22</v>
      </c>
      <c r="L728" s="1" t="str">
        <f>_xlfn.XLOOKUP(A728,satellite_programs!A:A,satellite_programs!N:N)</f>
        <v>Retired</v>
      </c>
    </row>
    <row r="729" spans="1:12" x14ac:dyDescent="0.5">
      <c r="A729" s="1" t="s">
        <v>77</v>
      </c>
      <c r="B729" s="1" t="s">
        <v>74</v>
      </c>
      <c r="C729" s="1" t="s">
        <v>33</v>
      </c>
      <c r="D729" s="1">
        <v>2019</v>
      </c>
      <c r="E729" s="1" t="s">
        <v>28</v>
      </c>
      <c r="F729" s="1">
        <v>0</v>
      </c>
      <c r="G729" s="1">
        <v>0</v>
      </c>
      <c r="H729" s="1">
        <v>26.16</v>
      </c>
      <c r="I729" s="1">
        <v>18.57</v>
      </c>
      <c r="J729" s="1">
        <v>0</v>
      </c>
      <c r="K729" s="1">
        <f t="shared" si="11"/>
        <v>44.730000000000004</v>
      </c>
      <c r="L729" s="1" t="str">
        <f>_xlfn.XLOOKUP(A729,satellite_programs!A:A,satellite_programs!N:N)</f>
        <v>Retired</v>
      </c>
    </row>
    <row r="730" spans="1:12" x14ac:dyDescent="0.5">
      <c r="A730" s="1" t="s">
        <v>77</v>
      </c>
      <c r="B730" s="1" t="s">
        <v>74</v>
      </c>
      <c r="C730" s="1" t="s">
        <v>33</v>
      </c>
      <c r="D730" s="1">
        <v>2020</v>
      </c>
      <c r="E730" s="1" t="s">
        <v>28</v>
      </c>
      <c r="F730" s="1">
        <v>0</v>
      </c>
      <c r="G730" s="1">
        <v>0</v>
      </c>
      <c r="H730" s="1">
        <v>26.16</v>
      </c>
      <c r="I730" s="1">
        <v>19.079999999999998</v>
      </c>
      <c r="J730" s="1">
        <v>0</v>
      </c>
      <c r="K730" s="1">
        <f t="shared" si="11"/>
        <v>45.239999999999995</v>
      </c>
      <c r="L730" s="1" t="str">
        <f>_xlfn.XLOOKUP(A730,satellite_programs!A:A,satellite_programs!N:N)</f>
        <v>Retired</v>
      </c>
    </row>
    <row r="731" spans="1:12" x14ac:dyDescent="0.5">
      <c r="A731" s="1" t="s">
        <v>77</v>
      </c>
      <c r="B731" s="1" t="s">
        <v>74</v>
      </c>
      <c r="C731" s="1" t="s">
        <v>33</v>
      </c>
      <c r="D731" s="1">
        <v>2022</v>
      </c>
      <c r="E731" s="1" t="s">
        <v>103</v>
      </c>
      <c r="F731" s="1">
        <v>0</v>
      </c>
      <c r="G731" s="1">
        <v>0</v>
      </c>
      <c r="H731" s="1">
        <v>0</v>
      </c>
      <c r="I731" s="1">
        <v>0</v>
      </c>
      <c r="J731" s="1">
        <v>8.48</v>
      </c>
      <c r="K731" s="1">
        <f t="shared" si="11"/>
        <v>8.48</v>
      </c>
      <c r="L731" s="1" t="str">
        <f>_xlfn.XLOOKUP(A731,satellite_programs!A:A,satellite_programs!N:N)</f>
        <v>Retired</v>
      </c>
    </row>
    <row r="732" spans="1:12" x14ac:dyDescent="0.5">
      <c r="A732" s="1" t="s">
        <v>78</v>
      </c>
      <c r="B732" s="1" t="s">
        <v>74</v>
      </c>
      <c r="C732" s="1" t="s">
        <v>33</v>
      </c>
      <c r="D732" s="1">
        <v>2013</v>
      </c>
      <c r="E732" s="1" t="s">
        <v>104</v>
      </c>
      <c r="F732" s="1">
        <v>3.09</v>
      </c>
      <c r="G732" s="1">
        <v>0</v>
      </c>
      <c r="H732" s="1">
        <v>0</v>
      </c>
      <c r="I732" s="1">
        <v>0</v>
      </c>
      <c r="J732" s="1">
        <v>0</v>
      </c>
      <c r="K732" s="1">
        <f t="shared" si="11"/>
        <v>3.09</v>
      </c>
      <c r="L732" s="1" t="str">
        <f>_xlfn.XLOOKUP(A732,satellite_programs!A:A,satellite_programs!N:N)</f>
        <v>Retired</v>
      </c>
    </row>
    <row r="733" spans="1:12" x14ac:dyDescent="0.5">
      <c r="A733" s="1" t="s">
        <v>78</v>
      </c>
      <c r="B733" s="1" t="s">
        <v>74</v>
      </c>
      <c r="C733" s="1" t="s">
        <v>33</v>
      </c>
      <c r="D733" s="1">
        <v>2014</v>
      </c>
      <c r="E733" s="1" t="s">
        <v>104</v>
      </c>
      <c r="F733" s="1">
        <v>6.18</v>
      </c>
      <c r="G733" s="1">
        <v>0</v>
      </c>
      <c r="H733" s="1">
        <v>0</v>
      </c>
      <c r="I733" s="1">
        <v>0</v>
      </c>
      <c r="J733" s="1">
        <v>0</v>
      </c>
      <c r="K733" s="1">
        <f t="shared" si="11"/>
        <v>6.18</v>
      </c>
      <c r="L733" s="1" t="str">
        <f>_xlfn.XLOOKUP(A733,satellite_programs!A:A,satellite_programs!N:N)</f>
        <v>Retired</v>
      </c>
    </row>
    <row r="734" spans="1:12" x14ac:dyDescent="0.5">
      <c r="A734" s="1" t="s">
        <v>78</v>
      </c>
      <c r="B734" s="1" t="s">
        <v>74</v>
      </c>
      <c r="C734" s="1" t="s">
        <v>33</v>
      </c>
      <c r="D734" s="1">
        <v>2015</v>
      </c>
      <c r="E734" s="1" t="s">
        <v>104</v>
      </c>
      <c r="F734" s="1">
        <v>11.12</v>
      </c>
      <c r="G734" s="1">
        <v>0</v>
      </c>
      <c r="H734" s="1">
        <v>0</v>
      </c>
      <c r="I734" s="1">
        <v>0</v>
      </c>
      <c r="J734" s="1">
        <v>0</v>
      </c>
      <c r="K734" s="1">
        <f t="shared" si="11"/>
        <v>11.12</v>
      </c>
      <c r="L734" s="1" t="str">
        <f>_xlfn.XLOOKUP(A734,satellite_programs!A:A,satellite_programs!N:N)</f>
        <v>Retired</v>
      </c>
    </row>
    <row r="735" spans="1:12" x14ac:dyDescent="0.5">
      <c r="A735" s="1" t="s">
        <v>78</v>
      </c>
      <c r="B735" s="1" t="s">
        <v>74</v>
      </c>
      <c r="C735" s="1" t="s">
        <v>33</v>
      </c>
      <c r="D735" s="1">
        <v>2016</v>
      </c>
      <c r="E735" s="1" t="s">
        <v>104</v>
      </c>
      <c r="F735" s="1">
        <v>13.59</v>
      </c>
      <c r="G735" s="1">
        <v>10.199999999999999</v>
      </c>
      <c r="H735" s="1">
        <v>0</v>
      </c>
      <c r="I735" s="1">
        <v>0</v>
      </c>
      <c r="J735" s="1">
        <v>0</v>
      </c>
      <c r="K735" s="1">
        <f t="shared" si="11"/>
        <v>23.79</v>
      </c>
      <c r="L735" s="1" t="str">
        <f>_xlfn.XLOOKUP(A735,satellite_programs!A:A,satellite_programs!N:N)</f>
        <v>Retired</v>
      </c>
    </row>
    <row r="736" spans="1:12" x14ac:dyDescent="0.5">
      <c r="A736" s="1" t="s">
        <v>78</v>
      </c>
      <c r="B736" s="1" t="s">
        <v>74</v>
      </c>
      <c r="C736" s="1" t="s">
        <v>33</v>
      </c>
      <c r="D736" s="1">
        <v>2017</v>
      </c>
      <c r="E736" s="1" t="s">
        <v>104</v>
      </c>
      <c r="F736" s="1">
        <v>12.36</v>
      </c>
      <c r="G736" s="1">
        <v>8.34</v>
      </c>
      <c r="H736" s="1">
        <v>0</v>
      </c>
      <c r="I736" s="1">
        <v>0</v>
      </c>
      <c r="J736" s="1">
        <v>0</v>
      </c>
      <c r="K736" s="1">
        <f t="shared" si="11"/>
        <v>20.7</v>
      </c>
      <c r="L736" s="1" t="str">
        <f>_xlfn.XLOOKUP(A736,satellite_programs!A:A,satellite_programs!N:N)</f>
        <v>Retired</v>
      </c>
    </row>
    <row r="737" spans="1:12" x14ac:dyDescent="0.5">
      <c r="A737" s="1" t="s">
        <v>78</v>
      </c>
      <c r="B737" s="1" t="s">
        <v>74</v>
      </c>
      <c r="C737" s="1" t="s">
        <v>33</v>
      </c>
      <c r="D737" s="1">
        <v>2018</v>
      </c>
      <c r="E737" s="1" t="s">
        <v>28</v>
      </c>
      <c r="F737" s="1">
        <v>0</v>
      </c>
      <c r="G737" s="1">
        <v>0</v>
      </c>
      <c r="H737" s="1">
        <v>26.44</v>
      </c>
      <c r="I737" s="1">
        <v>17.52</v>
      </c>
      <c r="J737" s="1">
        <v>0</v>
      </c>
      <c r="K737" s="1">
        <f t="shared" si="11"/>
        <v>43.96</v>
      </c>
      <c r="L737" s="1" t="str">
        <f>_xlfn.XLOOKUP(A737,satellite_programs!A:A,satellite_programs!N:N)</f>
        <v>Retired</v>
      </c>
    </row>
    <row r="738" spans="1:12" x14ac:dyDescent="0.5">
      <c r="A738" s="1" t="s">
        <v>78</v>
      </c>
      <c r="B738" s="1" t="s">
        <v>74</v>
      </c>
      <c r="C738" s="1" t="s">
        <v>33</v>
      </c>
      <c r="D738" s="1">
        <v>2019</v>
      </c>
      <c r="E738" s="1" t="s">
        <v>28</v>
      </c>
      <c r="F738" s="1">
        <v>0</v>
      </c>
      <c r="G738" s="1">
        <v>0</v>
      </c>
      <c r="H738" s="1">
        <v>26.44</v>
      </c>
      <c r="I738" s="1">
        <v>18.05</v>
      </c>
      <c r="J738" s="1">
        <v>0</v>
      </c>
      <c r="K738" s="1">
        <f t="shared" si="11"/>
        <v>44.49</v>
      </c>
      <c r="L738" s="1" t="str">
        <f>_xlfn.XLOOKUP(A738,satellite_programs!A:A,satellite_programs!N:N)</f>
        <v>Retired</v>
      </c>
    </row>
    <row r="739" spans="1:12" x14ac:dyDescent="0.5">
      <c r="A739" s="1" t="s">
        <v>78</v>
      </c>
      <c r="B739" s="1" t="s">
        <v>74</v>
      </c>
      <c r="C739" s="1" t="s">
        <v>33</v>
      </c>
      <c r="D739" s="1">
        <v>2020</v>
      </c>
      <c r="E739" s="1" t="s">
        <v>28</v>
      </c>
      <c r="F739" s="1">
        <v>0</v>
      </c>
      <c r="G739" s="1">
        <v>0</v>
      </c>
      <c r="H739" s="1">
        <v>26.44</v>
      </c>
      <c r="I739" s="1">
        <v>18.57</v>
      </c>
      <c r="J739" s="1">
        <v>0</v>
      </c>
      <c r="K739" s="1">
        <f t="shared" si="11"/>
        <v>45.010000000000005</v>
      </c>
      <c r="L739" s="1" t="str">
        <f>_xlfn.XLOOKUP(A739,satellite_programs!A:A,satellite_programs!N:N)</f>
        <v>Retired</v>
      </c>
    </row>
    <row r="740" spans="1:12" x14ac:dyDescent="0.5">
      <c r="A740" s="1" t="s">
        <v>78</v>
      </c>
      <c r="B740" s="1" t="s">
        <v>74</v>
      </c>
      <c r="C740" s="1" t="s">
        <v>33</v>
      </c>
      <c r="D740" s="1">
        <v>2021</v>
      </c>
      <c r="E740" s="1" t="s">
        <v>28</v>
      </c>
      <c r="F740" s="1">
        <v>0</v>
      </c>
      <c r="G740" s="1">
        <v>0</v>
      </c>
      <c r="H740" s="1">
        <v>26.44</v>
      </c>
      <c r="I740" s="1">
        <v>19.100000000000001</v>
      </c>
      <c r="J740" s="1">
        <v>0</v>
      </c>
      <c r="K740" s="1">
        <f t="shared" si="11"/>
        <v>45.540000000000006</v>
      </c>
      <c r="L740" s="1" t="str">
        <f>_xlfn.XLOOKUP(A740,satellite_programs!A:A,satellite_programs!N:N)</f>
        <v>Retired</v>
      </c>
    </row>
    <row r="741" spans="1:12" x14ac:dyDescent="0.5">
      <c r="A741" s="1" t="s">
        <v>78</v>
      </c>
      <c r="B741" s="1" t="s">
        <v>74</v>
      </c>
      <c r="C741" s="1" t="s">
        <v>33</v>
      </c>
      <c r="D741" s="1">
        <v>2022</v>
      </c>
      <c r="E741" s="1" t="s">
        <v>28</v>
      </c>
      <c r="F741" s="1">
        <v>0</v>
      </c>
      <c r="G741" s="1">
        <v>0</v>
      </c>
      <c r="H741" s="1">
        <v>26.44</v>
      </c>
      <c r="I741" s="1">
        <v>19.62</v>
      </c>
      <c r="J741" s="1">
        <v>0</v>
      </c>
      <c r="K741" s="1">
        <f t="shared" si="11"/>
        <v>46.06</v>
      </c>
      <c r="L741" s="1" t="str">
        <f>_xlfn.XLOOKUP(A741,satellite_programs!A:A,satellite_programs!N:N)</f>
        <v>Retired</v>
      </c>
    </row>
    <row r="742" spans="1:12" x14ac:dyDescent="0.5">
      <c r="A742" s="1" t="s">
        <v>78</v>
      </c>
      <c r="B742" s="1" t="s">
        <v>74</v>
      </c>
      <c r="C742" s="1" t="s">
        <v>33</v>
      </c>
      <c r="D742" s="1">
        <v>2024</v>
      </c>
      <c r="E742" s="1" t="s">
        <v>103</v>
      </c>
      <c r="F742" s="1">
        <v>0</v>
      </c>
      <c r="G742" s="1">
        <v>0</v>
      </c>
      <c r="H742" s="1">
        <v>0</v>
      </c>
      <c r="I742" s="1">
        <v>0</v>
      </c>
      <c r="J742" s="1">
        <v>8.6199999999999992</v>
      </c>
      <c r="K742" s="1">
        <f t="shared" si="11"/>
        <v>8.6199999999999992</v>
      </c>
      <c r="L742" s="1" t="str">
        <f>_xlfn.XLOOKUP(A742,satellite_programs!A:A,satellite_programs!N:N)</f>
        <v>Retired</v>
      </c>
    </row>
    <row r="743" spans="1:12" x14ac:dyDescent="0.5">
      <c r="A743" s="1" t="s">
        <v>49</v>
      </c>
      <c r="B743" s="1" t="s">
        <v>50</v>
      </c>
      <c r="C743" s="1" t="s">
        <v>23</v>
      </c>
      <c r="D743" s="1">
        <v>2000</v>
      </c>
      <c r="E743" s="1" t="s">
        <v>104</v>
      </c>
      <c r="F743" s="1">
        <v>12.24</v>
      </c>
      <c r="G743" s="1">
        <v>0</v>
      </c>
      <c r="H743" s="1">
        <v>0</v>
      </c>
      <c r="I743" s="1">
        <v>0</v>
      </c>
      <c r="J743" s="1">
        <v>0</v>
      </c>
      <c r="K743" s="1">
        <f t="shared" si="11"/>
        <v>12.24</v>
      </c>
      <c r="L743" s="1" t="str">
        <f>_xlfn.XLOOKUP(A743,satellite_programs!A:A,satellite_programs!N:N)</f>
        <v>Retired</v>
      </c>
    </row>
    <row r="744" spans="1:12" x14ac:dyDescent="0.5">
      <c r="A744" s="1" t="s">
        <v>49</v>
      </c>
      <c r="B744" s="1" t="s">
        <v>50</v>
      </c>
      <c r="C744" s="1" t="s">
        <v>23</v>
      </c>
      <c r="D744" s="1">
        <v>2001</v>
      </c>
      <c r="E744" s="1" t="s">
        <v>104</v>
      </c>
      <c r="F744" s="1">
        <v>24.48</v>
      </c>
      <c r="G744" s="1">
        <v>0</v>
      </c>
      <c r="H744" s="1">
        <v>0</v>
      </c>
      <c r="I744" s="1">
        <v>0</v>
      </c>
      <c r="J744" s="1">
        <v>0</v>
      </c>
      <c r="K744" s="1">
        <f t="shared" si="11"/>
        <v>24.48</v>
      </c>
      <c r="L744" s="1" t="str">
        <f>_xlfn.XLOOKUP(A744,satellite_programs!A:A,satellite_programs!N:N)</f>
        <v>Retired</v>
      </c>
    </row>
    <row r="745" spans="1:12" x14ac:dyDescent="0.5">
      <c r="A745" s="1" t="s">
        <v>49</v>
      </c>
      <c r="B745" s="1" t="s">
        <v>50</v>
      </c>
      <c r="C745" s="1" t="s">
        <v>23</v>
      </c>
      <c r="D745" s="1">
        <v>2002</v>
      </c>
      <c r="E745" s="1" t="s">
        <v>104</v>
      </c>
      <c r="F745" s="1">
        <v>44.06</v>
      </c>
      <c r="G745" s="1">
        <v>0</v>
      </c>
      <c r="H745" s="1">
        <v>0</v>
      </c>
      <c r="I745" s="1">
        <v>0</v>
      </c>
      <c r="J745" s="1">
        <v>0</v>
      </c>
      <c r="K745" s="1">
        <f t="shared" si="11"/>
        <v>44.06</v>
      </c>
      <c r="L745" s="1" t="str">
        <f>_xlfn.XLOOKUP(A745,satellite_programs!A:A,satellite_programs!N:N)</f>
        <v>Retired</v>
      </c>
    </row>
    <row r="746" spans="1:12" x14ac:dyDescent="0.5">
      <c r="A746" s="1" t="s">
        <v>49</v>
      </c>
      <c r="B746" s="1" t="s">
        <v>50</v>
      </c>
      <c r="C746" s="1" t="s">
        <v>23</v>
      </c>
      <c r="D746" s="1">
        <v>2003</v>
      </c>
      <c r="E746" s="1" t="s">
        <v>104</v>
      </c>
      <c r="F746" s="1">
        <v>53.85</v>
      </c>
      <c r="G746" s="1">
        <v>0</v>
      </c>
      <c r="H746" s="1">
        <v>0</v>
      </c>
      <c r="I746" s="1">
        <v>0</v>
      </c>
      <c r="J746" s="1">
        <v>0</v>
      </c>
      <c r="K746" s="1">
        <f t="shared" si="11"/>
        <v>53.85</v>
      </c>
      <c r="L746" s="1" t="str">
        <f>_xlfn.XLOOKUP(A746,satellite_programs!A:A,satellite_programs!N:N)</f>
        <v>Retired</v>
      </c>
    </row>
    <row r="747" spans="1:12" x14ac:dyDescent="0.5">
      <c r="A747" s="1" t="s">
        <v>49</v>
      </c>
      <c r="B747" s="1" t="s">
        <v>50</v>
      </c>
      <c r="C747" s="1" t="s">
        <v>23</v>
      </c>
      <c r="D747" s="1">
        <v>2004</v>
      </c>
      <c r="E747" s="1" t="s">
        <v>104</v>
      </c>
      <c r="F747" s="1">
        <v>48.95</v>
      </c>
      <c r="G747" s="1">
        <v>0</v>
      </c>
      <c r="H747" s="1">
        <v>0</v>
      </c>
      <c r="I747" s="1">
        <v>0</v>
      </c>
      <c r="J747" s="1">
        <v>0</v>
      </c>
      <c r="K747" s="1">
        <f t="shared" si="11"/>
        <v>48.95</v>
      </c>
      <c r="L747" s="1" t="str">
        <f>_xlfn.XLOOKUP(A747,satellite_programs!A:A,satellite_programs!N:N)</f>
        <v>Retired</v>
      </c>
    </row>
    <row r="748" spans="1:12" x14ac:dyDescent="0.5">
      <c r="A748" s="1" t="s">
        <v>49</v>
      </c>
      <c r="B748" s="1" t="s">
        <v>50</v>
      </c>
      <c r="C748" s="1" t="s">
        <v>23</v>
      </c>
      <c r="D748" s="1">
        <v>2005</v>
      </c>
      <c r="E748" s="1" t="s">
        <v>104</v>
      </c>
      <c r="F748" s="1">
        <v>31.82</v>
      </c>
      <c r="G748" s="1">
        <v>51.69</v>
      </c>
      <c r="H748" s="1">
        <v>0</v>
      </c>
      <c r="I748" s="1">
        <v>0</v>
      </c>
      <c r="J748" s="1">
        <v>0</v>
      </c>
      <c r="K748" s="1">
        <f t="shared" si="11"/>
        <v>83.509999999999991</v>
      </c>
      <c r="L748" s="1" t="str">
        <f>_xlfn.XLOOKUP(A748,satellite_programs!A:A,satellite_programs!N:N)</f>
        <v>Retired</v>
      </c>
    </row>
    <row r="749" spans="1:12" x14ac:dyDescent="0.5">
      <c r="A749" s="1" t="s">
        <v>49</v>
      </c>
      <c r="B749" s="1" t="s">
        <v>50</v>
      </c>
      <c r="C749" s="1" t="s">
        <v>23</v>
      </c>
      <c r="D749" s="1">
        <v>2006</v>
      </c>
      <c r="E749" s="1" t="s">
        <v>104</v>
      </c>
      <c r="F749" s="1">
        <v>19.57</v>
      </c>
      <c r="G749" s="1">
        <v>42.3</v>
      </c>
      <c r="H749" s="1">
        <v>0</v>
      </c>
      <c r="I749" s="1">
        <v>0</v>
      </c>
      <c r="J749" s="1">
        <v>0</v>
      </c>
      <c r="K749" s="1">
        <f t="shared" si="11"/>
        <v>61.87</v>
      </c>
      <c r="L749" s="1" t="str">
        <f>_xlfn.XLOOKUP(A749,satellite_programs!A:A,satellite_programs!N:N)</f>
        <v>Retired</v>
      </c>
    </row>
    <row r="750" spans="1:12" x14ac:dyDescent="0.5">
      <c r="A750" s="1" t="s">
        <v>49</v>
      </c>
      <c r="B750" s="1" t="s">
        <v>50</v>
      </c>
      <c r="C750" s="1" t="s">
        <v>23</v>
      </c>
      <c r="D750" s="1">
        <v>2007</v>
      </c>
      <c r="E750" s="1" t="s">
        <v>28</v>
      </c>
      <c r="F750" s="1">
        <v>0</v>
      </c>
      <c r="G750" s="1">
        <v>0</v>
      </c>
      <c r="H750" s="1">
        <v>48.88</v>
      </c>
      <c r="I750" s="1">
        <v>16.32</v>
      </c>
      <c r="J750" s="1">
        <v>0</v>
      </c>
      <c r="K750" s="1">
        <f t="shared" si="11"/>
        <v>65.2</v>
      </c>
      <c r="L750" s="1" t="str">
        <f>_xlfn.XLOOKUP(A750,satellite_programs!A:A,satellite_programs!N:N)</f>
        <v>Retired</v>
      </c>
    </row>
    <row r="751" spans="1:12" x14ac:dyDescent="0.5">
      <c r="A751" s="1" t="s">
        <v>49</v>
      </c>
      <c r="B751" s="1" t="s">
        <v>50</v>
      </c>
      <c r="C751" s="1" t="s">
        <v>23</v>
      </c>
      <c r="D751" s="1">
        <v>2008</v>
      </c>
      <c r="E751" s="1" t="s">
        <v>28</v>
      </c>
      <c r="F751" s="1">
        <v>0</v>
      </c>
      <c r="G751" s="1">
        <v>0</v>
      </c>
      <c r="H751" s="1">
        <v>48.88</v>
      </c>
      <c r="I751" s="1">
        <v>16.809999999999999</v>
      </c>
      <c r="J751" s="1">
        <v>0</v>
      </c>
      <c r="K751" s="1">
        <f t="shared" si="11"/>
        <v>65.69</v>
      </c>
      <c r="L751" s="1" t="str">
        <f>_xlfn.XLOOKUP(A751,satellite_programs!A:A,satellite_programs!N:N)</f>
        <v>Retired</v>
      </c>
    </row>
    <row r="752" spans="1:12" x14ac:dyDescent="0.5">
      <c r="A752" s="1" t="s">
        <v>49</v>
      </c>
      <c r="B752" s="1" t="s">
        <v>50</v>
      </c>
      <c r="C752" s="1" t="s">
        <v>23</v>
      </c>
      <c r="D752" s="1">
        <v>2009</v>
      </c>
      <c r="E752" s="1" t="s">
        <v>28</v>
      </c>
      <c r="F752" s="1">
        <v>0</v>
      </c>
      <c r="G752" s="1">
        <v>0</v>
      </c>
      <c r="H752" s="1">
        <v>48.88</v>
      </c>
      <c r="I752" s="1">
        <v>17.3</v>
      </c>
      <c r="J752" s="1">
        <v>0</v>
      </c>
      <c r="K752" s="1">
        <f t="shared" si="11"/>
        <v>66.180000000000007</v>
      </c>
      <c r="L752" s="1" t="str">
        <f>_xlfn.XLOOKUP(A752,satellite_programs!A:A,satellite_programs!N:N)</f>
        <v>Retired</v>
      </c>
    </row>
    <row r="753" spans="1:12" x14ac:dyDescent="0.5">
      <c r="A753" s="1" t="s">
        <v>49</v>
      </c>
      <c r="B753" s="1" t="s">
        <v>50</v>
      </c>
      <c r="C753" s="1" t="s">
        <v>23</v>
      </c>
      <c r="D753" s="1">
        <v>2010</v>
      </c>
      <c r="E753" s="1" t="s">
        <v>28</v>
      </c>
      <c r="F753" s="1">
        <v>0</v>
      </c>
      <c r="G753" s="1">
        <v>0</v>
      </c>
      <c r="H753" s="1">
        <v>48.88</v>
      </c>
      <c r="I753" s="1">
        <v>17.79</v>
      </c>
      <c r="J753" s="1">
        <v>0</v>
      </c>
      <c r="K753" s="1">
        <f t="shared" si="11"/>
        <v>66.67</v>
      </c>
      <c r="L753" s="1" t="str">
        <f>_xlfn.XLOOKUP(A753,satellite_programs!A:A,satellite_programs!N:N)</f>
        <v>Retired</v>
      </c>
    </row>
    <row r="754" spans="1:12" x14ac:dyDescent="0.5">
      <c r="A754" s="1" t="s">
        <v>49</v>
      </c>
      <c r="B754" s="1" t="s">
        <v>50</v>
      </c>
      <c r="C754" s="1" t="s">
        <v>23</v>
      </c>
      <c r="D754" s="1">
        <v>2011</v>
      </c>
      <c r="E754" s="1" t="s">
        <v>28</v>
      </c>
      <c r="F754" s="1">
        <v>0</v>
      </c>
      <c r="G754" s="1">
        <v>0</v>
      </c>
      <c r="H754" s="1">
        <v>48.88</v>
      </c>
      <c r="I754" s="1">
        <v>18.28</v>
      </c>
      <c r="J754" s="1">
        <v>0</v>
      </c>
      <c r="K754" s="1">
        <f t="shared" si="11"/>
        <v>67.16</v>
      </c>
      <c r="L754" s="1" t="str">
        <f>_xlfn.XLOOKUP(A754,satellite_programs!A:A,satellite_programs!N:N)</f>
        <v>Retired</v>
      </c>
    </row>
    <row r="755" spans="1:12" x14ac:dyDescent="0.5">
      <c r="A755" s="1" t="s">
        <v>49</v>
      </c>
      <c r="B755" s="1" t="s">
        <v>50</v>
      </c>
      <c r="C755" s="1" t="s">
        <v>23</v>
      </c>
      <c r="D755" s="1">
        <v>2012</v>
      </c>
      <c r="E755" s="1" t="s">
        <v>28</v>
      </c>
      <c r="F755" s="1">
        <v>0</v>
      </c>
      <c r="G755" s="1">
        <v>0</v>
      </c>
      <c r="H755" s="1">
        <v>48.88</v>
      </c>
      <c r="I755" s="1">
        <v>18.77</v>
      </c>
      <c r="J755" s="1">
        <v>0</v>
      </c>
      <c r="K755" s="1">
        <f t="shared" si="11"/>
        <v>67.650000000000006</v>
      </c>
      <c r="L755" s="1" t="str">
        <f>_xlfn.XLOOKUP(A755,satellite_programs!A:A,satellite_programs!N:N)</f>
        <v>Retired</v>
      </c>
    </row>
    <row r="756" spans="1:12" x14ac:dyDescent="0.5">
      <c r="A756" s="1" t="s">
        <v>49</v>
      </c>
      <c r="B756" s="1" t="s">
        <v>50</v>
      </c>
      <c r="C756" s="1" t="s">
        <v>23</v>
      </c>
      <c r="D756" s="1">
        <v>2013</v>
      </c>
      <c r="E756" s="1" t="s">
        <v>28</v>
      </c>
      <c r="F756" s="1">
        <v>0</v>
      </c>
      <c r="G756" s="1">
        <v>0</v>
      </c>
      <c r="H756" s="1">
        <v>48.88</v>
      </c>
      <c r="I756" s="1">
        <v>19.260000000000002</v>
      </c>
      <c r="J756" s="1">
        <v>0</v>
      </c>
      <c r="K756" s="1">
        <f t="shared" si="11"/>
        <v>68.14</v>
      </c>
      <c r="L756" s="1" t="str">
        <f>_xlfn.XLOOKUP(A756,satellite_programs!A:A,satellite_programs!N:N)</f>
        <v>Retired</v>
      </c>
    </row>
    <row r="757" spans="1:12" x14ac:dyDescent="0.5">
      <c r="A757" s="1" t="s">
        <v>49</v>
      </c>
      <c r="B757" s="1" t="s">
        <v>50</v>
      </c>
      <c r="C757" s="1" t="s">
        <v>23</v>
      </c>
      <c r="D757" s="1">
        <v>2014</v>
      </c>
      <c r="E757" s="1" t="s">
        <v>28</v>
      </c>
      <c r="F757" s="1">
        <v>0</v>
      </c>
      <c r="G757" s="1">
        <v>0</v>
      </c>
      <c r="H757" s="1">
        <v>48.88</v>
      </c>
      <c r="I757" s="1">
        <v>19.75</v>
      </c>
      <c r="J757" s="1">
        <v>0</v>
      </c>
      <c r="K757" s="1">
        <f t="shared" si="11"/>
        <v>68.63</v>
      </c>
      <c r="L757" s="1" t="str">
        <f>_xlfn.XLOOKUP(A757,satellite_programs!A:A,satellite_programs!N:N)</f>
        <v>Retired</v>
      </c>
    </row>
    <row r="758" spans="1:12" x14ac:dyDescent="0.5">
      <c r="A758" s="1" t="s">
        <v>49</v>
      </c>
      <c r="B758" s="1" t="s">
        <v>50</v>
      </c>
      <c r="C758" s="1" t="s">
        <v>23</v>
      </c>
      <c r="D758" s="1">
        <v>2015</v>
      </c>
      <c r="E758" s="1" t="s">
        <v>28</v>
      </c>
      <c r="F758" s="1">
        <v>0</v>
      </c>
      <c r="G758" s="1">
        <v>0</v>
      </c>
      <c r="H758" s="1">
        <v>48.88</v>
      </c>
      <c r="I758" s="1">
        <v>20.239999999999998</v>
      </c>
      <c r="J758" s="1">
        <v>0</v>
      </c>
      <c r="K758" s="1">
        <f t="shared" si="11"/>
        <v>69.12</v>
      </c>
      <c r="L758" s="1" t="str">
        <f>_xlfn.XLOOKUP(A758,satellite_programs!A:A,satellite_programs!N:N)</f>
        <v>Retired</v>
      </c>
    </row>
    <row r="759" spans="1:12" x14ac:dyDescent="0.5">
      <c r="A759" s="1" t="s">
        <v>49</v>
      </c>
      <c r="B759" s="1" t="s">
        <v>50</v>
      </c>
      <c r="C759" s="1" t="s">
        <v>23</v>
      </c>
      <c r="D759" s="1">
        <v>2016</v>
      </c>
      <c r="E759" s="1" t="s">
        <v>28</v>
      </c>
      <c r="F759" s="1">
        <v>0</v>
      </c>
      <c r="G759" s="1">
        <v>0</v>
      </c>
      <c r="H759" s="1">
        <v>48.88</v>
      </c>
      <c r="I759" s="1">
        <v>20.73</v>
      </c>
      <c r="J759" s="1">
        <v>0</v>
      </c>
      <c r="K759" s="1">
        <f t="shared" si="11"/>
        <v>69.61</v>
      </c>
      <c r="L759" s="1" t="str">
        <f>_xlfn.XLOOKUP(A759,satellite_programs!A:A,satellite_programs!N:N)</f>
        <v>Retired</v>
      </c>
    </row>
    <row r="760" spans="1:12" x14ac:dyDescent="0.5">
      <c r="A760" s="1" t="s">
        <v>49</v>
      </c>
      <c r="B760" s="1" t="s">
        <v>50</v>
      </c>
      <c r="C760" s="1" t="s">
        <v>23</v>
      </c>
      <c r="D760" s="1">
        <v>2018</v>
      </c>
      <c r="E760" s="1" t="s">
        <v>103</v>
      </c>
      <c r="F760" s="1">
        <v>0</v>
      </c>
      <c r="G760" s="1">
        <v>0</v>
      </c>
      <c r="H760" s="1">
        <v>0</v>
      </c>
      <c r="I760" s="1">
        <v>0</v>
      </c>
      <c r="J760" s="1">
        <v>21.24</v>
      </c>
      <c r="K760" s="1">
        <f t="shared" si="11"/>
        <v>21.24</v>
      </c>
      <c r="L760" s="1" t="str">
        <f>_xlfn.XLOOKUP(A760,satellite_programs!A:A,satellite_programs!N:N)</f>
        <v>Retired</v>
      </c>
    </row>
    <row r="761" spans="1:12" x14ac:dyDescent="0.5">
      <c r="A761" s="1" t="s">
        <v>51</v>
      </c>
      <c r="B761" s="1" t="s">
        <v>50</v>
      </c>
      <c r="C761" s="1" t="s">
        <v>23</v>
      </c>
      <c r="D761" s="1">
        <v>2003</v>
      </c>
      <c r="E761" s="1" t="s">
        <v>104</v>
      </c>
      <c r="F761" s="1">
        <v>13.16</v>
      </c>
      <c r="G761" s="1">
        <v>0</v>
      </c>
      <c r="H761" s="1">
        <v>0</v>
      </c>
      <c r="I761" s="1">
        <v>0</v>
      </c>
      <c r="J761" s="1">
        <v>0</v>
      </c>
      <c r="K761" s="1">
        <f t="shared" si="11"/>
        <v>13.16</v>
      </c>
      <c r="L761" s="1" t="str">
        <f>_xlfn.XLOOKUP(A761,satellite_programs!A:A,satellite_programs!N:N)</f>
        <v>Retired</v>
      </c>
    </row>
    <row r="762" spans="1:12" x14ac:dyDescent="0.5">
      <c r="A762" s="1" t="s">
        <v>51</v>
      </c>
      <c r="B762" s="1" t="s">
        <v>50</v>
      </c>
      <c r="C762" s="1" t="s">
        <v>23</v>
      </c>
      <c r="D762" s="1">
        <v>2004</v>
      </c>
      <c r="E762" s="1" t="s">
        <v>104</v>
      </c>
      <c r="F762" s="1">
        <v>26.31</v>
      </c>
      <c r="G762" s="1">
        <v>0</v>
      </c>
      <c r="H762" s="1">
        <v>0</v>
      </c>
      <c r="I762" s="1">
        <v>0</v>
      </c>
      <c r="J762" s="1">
        <v>0</v>
      </c>
      <c r="K762" s="1">
        <f t="shared" si="11"/>
        <v>26.31</v>
      </c>
      <c r="L762" s="1" t="str">
        <f>_xlfn.XLOOKUP(A762,satellite_programs!A:A,satellite_programs!N:N)</f>
        <v>Retired</v>
      </c>
    </row>
    <row r="763" spans="1:12" x14ac:dyDescent="0.5">
      <c r="A763" s="1" t="s">
        <v>51</v>
      </c>
      <c r="B763" s="1" t="s">
        <v>50</v>
      </c>
      <c r="C763" s="1" t="s">
        <v>23</v>
      </c>
      <c r="D763" s="1">
        <v>2005</v>
      </c>
      <c r="E763" s="1" t="s">
        <v>104</v>
      </c>
      <c r="F763" s="1">
        <v>47.36</v>
      </c>
      <c r="G763" s="1">
        <v>0</v>
      </c>
      <c r="H763" s="1">
        <v>0</v>
      </c>
      <c r="I763" s="1">
        <v>0</v>
      </c>
      <c r="J763" s="1">
        <v>0</v>
      </c>
      <c r="K763" s="1">
        <f t="shared" si="11"/>
        <v>47.36</v>
      </c>
      <c r="L763" s="1" t="str">
        <f>_xlfn.XLOOKUP(A763,satellite_programs!A:A,satellite_programs!N:N)</f>
        <v>Retired</v>
      </c>
    </row>
    <row r="764" spans="1:12" x14ac:dyDescent="0.5">
      <c r="A764" s="1" t="s">
        <v>51</v>
      </c>
      <c r="B764" s="1" t="s">
        <v>50</v>
      </c>
      <c r="C764" s="1" t="s">
        <v>23</v>
      </c>
      <c r="D764" s="1">
        <v>2006</v>
      </c>
      <c r="E764" s="1" t="s">
        <v>104</v>
      </c>
      <c r="F764" s="1">
        <v>57.89</v>
      </c>
      <c r="G764" s="1">
        <v>0</v>
      </c>
      <c r="H764" s="1">
        <v>0</v>
      </c>
      <c r="I764" s="1">
        <v>0</v>
      </c>
      <c r="J764" s="1">
        <v>0</v>
      </c>
      <c r="K764" s="1">
        <f t="shared" si="11"/>
        <v>57.89</v>
      </c>
      <c r="L764" s="1" t="str">
        <f>_xlfn.XLOOKUP(A764,satellite_programs!A:A,satellite_programs!N:N)</f>
        <v>Retired</v>
      </c>
    </row>
    <row r="765" spans="1:12" x14ac:dyDescent="0.5">
      <c r="A765" s="1" t="s">
        <v>51</v>
      </c>
      <c r="B765" s="1" t="s">
        <v>50</v>
      </c>
      <c r="C765" s="1" t="s">
        <v>23</v>
      </c>
      <c r="D765" s="1">
        <v>2007</v>
      </c>
      <c r="E765" s="1" t="s">
        <v>104</v>
      </c>
      <c r="F765" s="1">
        <v>52.63</v>
      </c>
      <c r="G765" s="1">
        <v>0</v>
      </c>
      <c r="H765" s="1">
        <v>0</v>
      </c>
      <c r="I765" s="1">
        <v>0</v>
      </c>
      <c r="J765" s="1">
        <v>0</v>
      </c>
      <c r="K765" s="1">
        <f t="shared" si="11"/>
        <v>52.63</v>
      </c>
      <c r="L765" s="1" t="str">
        <f>_xlfn.XLOOKUP(A765,satellite_programs!A:A,satellite_programs!N:N)</f>
        <v>Retired</v>
      </c>
    </row>
    <row r="766" spans="1:12" x14ac:dyDescent="0.5">
      <c r="A766" s="1" t="s">
        <v>51</v>
      </c>
      <c r="B766" s="1" t="s">
        <v>50</v>
      </c>
      <c r="C766" s="1" t="s">
        <v>23</v>
      </c>
      <c r="D766" s="1">
        <v>2008</v>
      </c>
      <c r="E766" s="1" t="s">
        <v>104</v>
      </c>
      <c r="F766" s="1">
        <v>34.21</v>
      </c>
      <c r="G766" s="1">
        <v>55.57</v>
      </c>
      <c r="H766" s="1">
        <v>0</v>
      </c>
      <c r="I766" s="1">
        <v>0</v>
      </c>
      <c r="J766" s="1">
        <v>0</v>
      </c>
      <c r="K766" s="1">
        <f t="shared" si="11"/>
        <v>89.78</v>
      </c>
      <c r="L766" s="1" t="str">
        <f>_xlfn.XLOOKUP(A766,satellite_programs!A:A,satellite_programs!N:N)</f>
        <v>Retired</v>
      </c>
    </row>
    <row r="767" spans="1:12" x14ac:dyDescent="0.5">
      <c r="A767" s="1" t="s">
        <v>51</v>
      </c>
      <c r="B767" s="1" t="s">
        <v>50</v>
      </c>
      <c r="C767" s="1" t="s">
        <v>23</v>
      </c>
      <c r="D767" s="1">
        <v>2009</v>
      </c>
      <c r="E767" s="1" t="s">
        <v>104</v>
      </c>
      <c r="F767" s="1">
        <v>21.05</v>
      </c>
      <c r="G767" s="1">
        <v>45.47</v>
      </c>
      <c r="H767" s="1">
        <v>0</v>
      </c>
      <c r="I767" s="1">
        <v>0</v>
      </c>
      <c r="J767" s="1">
        <v>0</v>
      </c>
      <c r="K767" s="1">
        <f t="shared" si="11"/>
        <v>66.52</v>
      </c>
      <c r="L767" s="1" t="str">
        <f>_xlfn.XLOOKUP(A767,satellite_programs!A:A,satellite_programs!N:N)</f>
        <v>Retired</v>
      </c>
    </row>
    <row r="768" spans="1:12" x14ac:dyDescent="0.5">
      <c r="A768" s="1" t="s">
        <v>51</v>
      </c>
      <c r="B768" s="1" t="s">
        <v>50</v>
      </c>
      <c r="C768" s="1" t="s">
        <v>23</v>
      </c>
      <c r="D768" s="1">
        <v>2010</v>
      </c>
      <c r="E768" s="1" t="s">
        <v>28</v>
      </c>
      <c r="F768" s="1">
        <v>0</v>
      </c>
      <c r="G768" s="1">
        <v>0</v>
      </c>
      <c r="H768" s="1">
        <v>51.2</v>
      </c>
      <c r="I768" s="1">
        <v>16.8</v>
      </c>
      <c r="J768" s="1">
        <v>0</v>
      </c>
      <c r="K768" s="1">
        <f t="shared" si="11"/>
        <v>68</v>
      </c>
      <c r="L768" s="1" t="str">
        <f>_xlfn.XLOOKUP(A768,satellite_programs!A:A,satellite_programs!N:N)</f>
        <v>Retired</v>
      </c>
    </row>
    <row r="769" spans="1:12" x14ac:dyDescent="0.5">
      <c r="A769" s="1" t="s">
        <v>51</v>
      </c>
      <c r="B769" s="1" t="s">
        <v>50</v>
      </c>
      <c r="C769" s="1" t="s">
        <v>23</v>
      </c>
      <c r="D769" s="1">
        <v>2011</v>
      </c>
      <c r="E769" s="1" t="s">
        <v>28</v>
      </c>
      <c r="F769" s="1">
        <v>0</v>
      </c>
      <c r="G769" s="1">
        <v>0</v>
      </c>
      <c r="H769" s="1">
        <v>51.2</v>
      </c>
      <c r="I769" s="1">
        <v>17.3</v>
      </c>
      <c r="J769" s="1">
        <v>0</v>
      </c>
      <c r="K769" s="1">
        <f t="shared" si="11"/>
        <v>68.5</v>
      </c>
      <c r="L769" s="1" t="str">
        <f>_xlfn.XLOOKUP(A769,satellite_programs!A:A,satellite_programs!N:N)</f>
        <v>Retired</v>
      </c>
    </row>
    <row r="770" spans="1:12" x14ac:dyDescent="0.5">
      <c r="A770" s="1" t="s">
        <v>51</v>
      </c>
      <c r="B770" s="1" t="s">
        <v>50</v>
      </c>
      <c r="C770" s="1" t="s">
        <v>23</v>
      </c>
      <c r="D770" s="1">
        <v>2012</v>
      </c>
      <c r="E770" s="1" t="s">
        <v>28</v>
      </c>
      <c r="F770" s="1">
        <v>0</v>
      </c>
      <c r="G770" s="1">
        <v>0</v>
      </c>
      <c r="H770" s="1">
        <v>51.2</v>
      </c>
      <c r="I770" s="1">
        <v>17.809999999999999</v>
      </c>
      <c r="J770" s="1">
        <v>0</v>
      </c>
      <c r="K770" s="1">
        <f t="shared" ref="K770:K833" si="12">SUM(F770:J770)</f>
        <v>69.010000000000005</v>
      </c>
      <c r="L770" s="1" t="str">
        <f>_xlfn.XLOOKUP(A770,satellite_programs!A:A,satellite_programs!N:N)</f>
        <v>Retired</v>
      </c>
    </row>
    <row r="771" spans="1:12" x14ac:dyDescent="0.5">
      <c r="A771" s="1" t="s">
        <v>51</v>
      </c>
      <c r="B771" s="1" t="s">
        <v>50</v>
      </c>
      <c r="C771" s="1" t="s">
        <v>23</v>
      </c>
      <c r="D771" s="1">
        <v>2013</v>
      </c>
      <c r="E771" s="1" t="s">
        <v>28</v>
      </c>
      <c r="F771" s="1">
        <v>0</v>
      </c>
      <c r="G771" s="1">
        <v>0</v>
      </c>
      <c r="H771" s="1">
        <v>51.2</v>
      </c>
      <c r="I771" s="1">
        <v>18.309999999999999</v>
      </c>
      <c r="J771" s="1">
        <v>0</v>
      </c>
      <c r="K771" s="1">
        <f t="shared" si="12"/>
        <v>69.510000000000005</v>
      </c>
      <c r="L771" s="1" t="str">
        <f>_xlfn.XLOOKUP(A771,satellite_programs!A:A,satellite_programs!N:N)</f>
        <v>Retired</v>
      </c>
    </row>
    <row r="772" spans="1:12" x14ac:dyDescent="0.5">
      <c r="A772" s="1" t="s">
        <v>51</v>
      </c>
      <c r="B772" s="1" t="s">
        <v>50</v>
      </c>
      <c r="C772" s="1" t="s">
        <v>23</v>
      </c>
      <c r="D772" s="1">
        <v>2014</v>
      </c>
      <c r="E772" s="1" t="s">
        <v>28</v>
      </c>
      <c r="F772" s="1">
        <v>0</v>
      </c>
      <c r="G772" s="1">
        <v>0</v>
      </c>
      <c r="H772" s="1">
        <v>51.2</v>
      </c>
      <c r="I772" s="1">
        <v>18.82</v>
      </c>
      <c r="J772" s="1">
        <v>0</v>
      </c>
      <c r="K772" s="1">
        <f t="shared" si="12"/>
        <v>70.02000000000001</v>
      </c>
      <c r="L772" s="1" t="str">
        <f>_xlfn.XLOOKUP(A772,satellite_programs!A:A,satellite_programs!N:N)</f>
        <v>Retired</v>
      </c>
    </row>
    <row r="773" spans="1:12" x14ac:dyDescent="0.5">
      <c r="A773" s="1" t="s">
        <v>51</v>
      </c>
      <c r="B773" s="1" t="s">
        <v>50</v>
      </c>
      <c r="C773" s="1" t="s">
        <v>23</v>
      </c>
      <c r="D773" s="1">
        <v>2015</v>
      </c>
      <c r="E773" s="1" t="s">
        <v>28</v>
      </c>
      <c r="F773" s="1">
        <v>0</v>
      </c>
      <c r="G773" s="1">
        <v>0</v>
      </c>
      <c r="H773" s="1">
        <v>51.2</v>
      </c>
      <c r="I773" s="1">
        <v>19.32</v>
      </c>
      <c r="J773" s="1">
        <v>0</v>
      </c>
      <c r="K773" s="1">
        <f t="shared" si="12"/>
        <v>70.52000000000001</v>
      </c>
      <c r="L773" s="1" t="str">
        <f>_xlfn.XLOOKUP(A773,satellite_programs!A:A,satellite_programs!N:N)</f>
        <v>Retired</v>
      </c>
    </row>
    <row r="774" spans="1:12" x14ac:dyDescent="0.5">
      <c r="A774" s="1" t="s">
        <v>51</v>
      </c>
      <c r="B774" s="1" t="s">
        <v>50</v>
      </c>
      <c r="C774" s="1" t="s">
        <v>23</v>
      </c>
      <c r="D774" s="1">
        <v>2016</v>
      </c>
      <c r="E774" s="1" t="s">
        <v>28</v>
      </c>
      <c r="F774" s="1">
        <v>0</v>
      </c>
      <c r="G774" s="1">
        <v>0</v>
      </c>
      <c r="H774" s="1">
        <v>51.2</v>
      </c>
      <c r="I774" s="1">
        <v>19.82</v>
      </c>
      <c r="J774" s="1">
        <v>0</v>
      </c>
      <c r="K774" s="1">
        <f t="shared" si="12"/>
        <v>71.02000000000001</v>
      </c>
      <c r="L774" s="1" t="str">
        <f>_xlfn.XLOOKUP(A774,satellite_programs!A:A,satellite_programs!N:N)</f>
        <v>Retired</v>
      </c>
    </row>
    <row r="775" spans="1:12" x14ac:dyDescent="0.5">
      <c r="A775" s="1" t="s">
        <v>51</v>
      </c>
      <c r="B775" s="1" t="s">
        <v>50</v>
      </c>
      <c r="C775" s="1" t="s">
        <v>23</v>
      </c>
      <c r="D775" s="1">
        <v>2017</v>
      </c>
      <c r="E775" s="1" t="s">
        <v>28</v>
      </c>
      <c r="F775" s="1">
        <v>0</v>
      </c>
      <c r="G775" s="1">
        <v>0</v>
      </c>
      <c r="H775" s="1">
        <v>51.2</v>
      </c>
      <c r="I775" s="1">
        <v>20.329999999999998</v>
      </c>
      <c r="J775" s="1">
        <v>0</v>
      </c>
      <c r="K775" s="1">
        <f t="shared" si="12"/>
        <v>71.53</v>
      </c>
      <c r="L775" s="1" t="str">
        <f>_xlfn.XLOOKUP(A775,satellite_programs!A:A,satellite_programs!N:N)</f>
        <v>Retired</v>
      </c>
    </row>
    <row r="776" spans="1:12" x14ac:dyDescent="0.5">
      <c r="A776" s="1" t="s">
        <v>51</v>
      </c>
      <c r="B776" s="1" t="s">
        <v>50</v>
      </c>
      <c r="C776" s="1" t="s">
        <v>23</v>
      </c>
      <c r="D776" s="1">
        <v>2018</v>
      </c>
      <c r="E776" s="1" t="s">
        <v>28</v>
      </c>
      <c r="F776" s="1">
        <v>0</v>
      </c>
      <c r="G776" s="1">
        <v>0</v>
      </c>
      <c r="H776" s="1">
        <v>51.2</v>
      </c>
      <c r="I776" s="1">
        <v>20.83</v>
      </c>
      <c r="J776" s="1">
        <v>0</v>
      </c>
      <c r="K776" s="1">
        <f t="shared" si="12"/>
        <v>72.03</v>
      </c>
      <c r="L776" s="1" t="str">
        <f>_xlfn.XLOOKUP(A776,satellite_programs!A:A,satellite_programs!N:N)</f>
        <v>Retired</v>
      </c>
    </row>
    <row r="777" spans="1:12" x14ac:dyDescent="0.5">
      <c r="A777" s="1" t="s">
        <v>51</v>
      </c>
      <c r="B777" s="1" t="s">
        <v>50</v>
      </c>
      <c r="C777" s="1" t="s">
        <v>23</v>
      </c>
      <c r="D777" s="1">
        <v>2019</v>
      </c>
      <c r="E777" s="1" t="s">
        <v>28</v>
      </c>
      <c r="F777" s="1">
        <v>0</v>
      </c>
      <c r="G777" s="1">
        <v>0</v>
      </c>
      <c r="H777" s="1">
        <v>51.2</v>
      </c>
      <c r="I777" s="1">
        <v>21.34</v>
      </c>
      <c r="J777" s="1">
        <v>0</v>
      </c>
      <c r="K777" s="1">
        <f t="shared" si="12"/>
        <v>72.540000000000006</v>
      </c>
      <c r="L777" s="1" t="str">
        <f>_xlfn.XLOOKUP(A777,satellite_programs!A:A,satellite_programs!N:N)</f>
        <v>Retired</v>
      </c>
    </row>
    <row r="778" spans="1:12" x14ac:dyDescent="0.5">
      <c r="A778" s="1" t="s">
        <v>51</v>
      </c>
      <c r="B778" s="1" t="s">
        <v>50</v>
      </c>
      <c r="C778" s="1" t="s">
        <v>23</v>
      </c>
      <c r="D778" s="1">
        <v>2021</v>
      </c>
      <c r="E778" s="1" t="s">
        <v>103</v>
      </c>
      <c r="F778" s="1">
        <v>0</v>
      </c>
      <c r="G778" s="1">
        <v>0</v>
      </c>
      <c r="H778" s="1">
        <v>0</v>
      </c>
      <c r="I778" s="1">
        <v>0</v>
      </c>
      <c r="J778" s="1">
        <v>21.5</v>
      </c>
      <c r="K778" s="1">
        <f t="shared" si="12"/>
        <v>21.5</v>
      </c>
      <c r="L778" s="1" t="str">
        <f>_xlfn.XLOOKUP(A778,satellite_programs!A:A,satellite_programs!N:N)</f>
        <v>Retired</v>
      </c>
    </row>
    <row r="779" spans="1:12" x14ac:dyDescent="0.5">
      <c r="A779" s="1" t="s">
        <v>52</v>
      </c>
      <c r="B779" s="1" t="s">
        <v>50</v>
      </c>
      <c r="C779" s="1" t="s">
        <v>23</v>
      </c>
      <c r="D779" s="1">
        <v>2006</v>
      </c>
      <c r="E779" s="1" t="s">
        <v>104</v>
      </c>
      <c r="F779" s="1">
        <v>14.18</v>
      </c>
      <c r="G779" s="1">
        <v>0</v>
      </c>
      <c r="H779" s="1">
        <v>0</v>
      </c>
      <c r="I779" s="1">
        <v>0</v>
      </c>
      <c r="J779" s="1">
        <v>0</v>
      </c>
      <c r="K779" s="1">
        <f t="shared" si="12"/>
        <v>14.18</v>
      </c>
      <c r="L779" s="1" t="str">
        <f>_xlfn.XLOOKUP(A779,satellite_programs!A:A,satellite_programs!N:N)</f>
        <v>Operations</v>
      </c>
    </row>
    <row r="780" spans="1:12" x14ac:dyDescent="0.5">
      <c r="A780" s="1" t="s">
        <v>52</v>
      </c>
      <c r="B780" s="1" t="s">
        <v>50</v>
      </c>
      <c r="C780" s="1" t="s">
        <v>23</v>
      </c>
      <c r="D780" s="1">
        <v>2007</v>
      </c>
      <c r="E780" s="1" t="s">
        <v>104</v>
      </c>
      <c r="F780" s="1">
        <v>28.35</v>
      </c>
      <c r="G780" s="1">
        <v>0</v>
      </c>
      <c r="H780" s="1">
        <v>0</v>
      </c>
      <c r="I780" s="1">
        <v>0</v>
      </c>
      <c r="J780" s="1">
        <v>0</v>
      </c>
      <c r="K780" s="1">
        <f t="shared" si="12"/>
        <v>28.35</v>
      </c>
      <c r="L780" s="1" t="str">
        <f>_xlfn.XLOOKUP(A780,satellite_programs!A:A,satellite_programs!N:N)</f>
        <v>Operations</v>
      </c>
    </row>
    <row r="781" spans="1:12" x14ac:dyDescent="0.5">
      <c r="A781" s="1" t="s">
        <v>52</v>
      </c>
      <c r="B781" s="1" t="s">
        <v>50</v>
      </c>
      <c r="C781" s="1" t="s">
        <v>23</v>
      </c>
      <c r="D781" s="1">
        <v>2008</v>
      </c>
      <c r="E781" s="1" t="s">
        <v>104</v>
      </c>
      <c r="F781" s="1">
        <v>51.04</v>
      </c>
      <c r="G781" s="1">
        <v>0</v>
      </c>
      <c r="H781" s="1">
        <v>0</v>
      </c>
      <c r="I781" s="1">
        <v>0</v>
      </c>
      <c r="J781" s="1">
        <v>0</v>
      </c>
      <c r="K781" s="1">
        <f t="shared" si="12"/>
        <v>51.04</v>
      </c>
      <c r="L781" s="1" t="str">
        <f>_xlfn.XLOOKUP(A781,satellite_programs!A:A,satellite_programs!N:N)</f>
        <v>Operations</v>
      </c>
    </row>
    <row r="782" spans="1:12" x14ac:dyDescent="0.5">
      <c r="A782" s="1" t="s">
        <v>52</v>
      </c>
      <c r="B782" s="1" t="s">
        <v>50</v>
      </c>
      <c r="C782" s="1" t="s">
        <v>23</v>
      </c>
      <c r="D782" s="1">
        <v>2009</v>
      </c>
      <c r="E782" s="1" t="s">
        <v>104</v>
      </c>
      <c r="F782" s="1">
        <v>62.38</v>
      </c>
      <c r="G782" s="1">
        <v>0</v>
      </c>
      <c r="H782" s="1">
        <v>0</v>
      </c>
      <c r="I782" s="1">
        <v>0</v>
      </c>
      <c r="J782" s="1">
        <v>0</v>
      </c>
      <c r="K782" s="1">
        <f t="shared" si="12"/>
        <v>62.38</v>
      </c>
      <c r="L782" s="1" t="str">
        <f>_xlfn.XLOOKUP(A782,satellite_programs!A:A,satellite_programs!N:N)</f>
        <v>Operations</v>
      </c>
    </row>
    <row r="783" spans="1:12" x14ac:dyDescent="0.5">
      <c r="A783" s="1" t="s">
        <v>52</v>
      </c>
      <c r="B783" s="1" t="s">
        <v>50</v>
      </c>
      <c r="C783" s="1" t="s">
        <v>23</v>
      </c>
      <c r="D783" s="1">
        <v>2010</v>
      </c>
      <c r="E783" s="1" t="s">
        <v>104</v>
      </c>
      <c r="F783" s="1">
        <v>56.71</v>
      </c>
      <c r="G783" s="1">
        <v>0</v>
      </c>
      <c r="H783" s="1">
        <v>0</v>
      </c>
      <c r="I783" s="1">
        <v>0</v>
      </c>
      <c r="J783" s="1">
        <v>0</v>
      </c>
      <c r="K783" s="1">
        <f t="shared" si="12"/>
        <v>56.71</v>
      </c>
      <c r="L783" s="1" t="str">
        <f>_xlfn.XLOOKUP(A783,satellite_programs!A:A,satellite_programs!N:N)</f>
        <v>Operations</v>
      </c>
    </row>
    <row r="784" spans="1:12" x14ac:dyDescent="0.5">
      <c r="A784" s="1" t="s">
        <v>52</v>
      </c>
      <c r="B784" s="1" t="s">
        <v>50</v>
      </c>
      <c r="C784" s="1" t="s">
        <v>23</v>
      </c>
      <c r="D784" s="1">
        <v>2011</v>
      </c>
      <c r="E784" s="1" t="s">
        <v>104</v>
      </c>
      <c r="F784" s="1">
        <v>36.86</v>
      </c>
      <c r="G784" s="1">
        <v>59.88</v>
      </c>
      <c r="H784" s="1">
        <v>0</v>
      </c>
      <c r="I784" s="1">
        <v>0</v>
      </c>
      <c r="J784" s="1">
        <v>0</v>
      </c>
      <c r="K784" s="1">
        <f t="shared" si="12"/>
        <v>96.740000000000009</v>
      </c>
      <c r="L784" s="1" t="str">
        <f>_xlfn.XLOOKUP(A784,satellite_programs!A:A,satellite_programs!N:N)</f>
        <v>Operations</v>
      </c>
    </row>
    <row r="785" spans="1:12" x14ac:dyDescent="0.5">
      <c r="A785" s="1" t="s">
        <v>52</v>
      </c>
      <c r="B785" s="1" t="s">
        <v>50</v>
      </c>
      <c r="C785" s="1" t="s">
        <v>23</v>
      </c>
      <c r="D785" s="1">
        <v>2012</v>
      </c>
      <c r="E785" s="1" t="s">
        <v>104</v>
      </c>
      <c r="F785" s="1">
        <v>22.67</v>
      </c>
      <c r="G785" s="1">
        <v>49</v>
      </c>
      <c r="H785" s="1">
        <v>0</v>
      </c>
      <c r="I785" s="1">
        <v>0</v>
      </c>
      <c r="J785" s="1">
        <v>0</v>
      </c>
      <c r="K785" s="1">
        <f t="shared" si="12"/>
        <v>71.67</v>
      </c>
      <c r="L785" s="1" t="str">
        <f>_xlfn.XLOOKUP(A785,satellite_programs!A:A,satellite_programs!N:N)</f>
        <v>Operations</v>
      </c>
    </row>
    <row r="786" spans="1:12" x14ac:dyDescent="0.5">
      <c r="A786" s="1" t="s">
        <v>52</v>
      </c>
      <c r="B786" s="1" t="s">
        <v>50</v>
      </c>
      <c r="C786" s="1" t="s">
        <v>23</v>
      </c>
      <c r="D786" s="1">
        <v>2013</v>
      </c>
      <c r="E786" s="1" t="s">
        <v>28</v>
      </c>
      <c r="F786" s="1">
        <v>0</v>
      </c>
      <c r="G786" s="1">
        <v>0</v>
      </c>
      <c r="H786" s="1">
        <v>53.6</v>
      </c>
      <c r="I786" s="1">
        <v>17.28</v>
      </c>
      <c r="J786" s="1">
        <v>0</v>
      </c>
      <c r="K786" s="1">
        <f t="shared" si="12"/>
        <v>70.88</v>
      </c>
      <c r="L786" s="1" t="str">
        <f>_xlfn.XLOOKUP(A786,satellite_programs!A:A,satellite_programs!N:N)</f>
        <v>Operations</v>
      </c>
    </row>
    <row r="787" spans="1:12" x14ac:dyDescent="0.5">
      <c r="A787" s="1" t="s">
        <v>52</v>
      </c>
      <c r="B787" s="1" t="s">
        <v>50</v>
      </c>
      <c r="C787" s="1" t="s">
        <v>23</v>
      </c>
      <c r="D787" s="1">
        <v>2014</v>
      </c>
      <c r="E787" s="1" t="s">
        <v>28</v>
      </c>
      <c r="F787" s="1">
        <v>0</v>
      </c>
      <c r="G787" s="1">
        <v>0</v>
      </c>
      <c r="H787" s="1">
        <v>53.6</v>
      </c>
      <c r="I787" s="1">
        <v>17.8</v>
      </c>
      <c r="J787" s="1">
        <v>0</v>
      </c>
      <c r="K787" s="1">
        <f t="shared" si="12"/>
        <v>71.400000000000006</v>
      </c>
      <c r="L787" s="1" t="str">
        <f>_xlfn.XLOOKUP(A787,satellite_programs!A:A,satellite_programs!N:N)</f>
        <v>Operations</v>
      </c>
    </row>
    <row r="788" spans="1:12" x14ac:dyDescent="0.5">
      <c r="A788" s="1" t="s">
        <v>52</v>
      </c>
      <c r="B788" s="1" t="s">
        <v>50</v>
      </c>
      <c r="C788" s="1" t="s">
        <v>23</v>
      </c>
      <c r="D788" s="1">
        <v>2015</v>
      </c>
      <c r="E788" s="1" t="s">
        <v>28</v>
      </c>
      <c r="F788" s="1">
        <v>0</v>
      </c>
      <c r="G788" s="1">
        <v>0</v>
      </c>
      <c r="H788" s="1">
        <v>53.6</v>
      </c>
      <c r="I788" s="1">
        <v>18.32</v>
      </c>
      <c r="J788" s="1">
        <v>0</v>
      </c>
      <c r="K788" s="1">
        <f t="shared" si="12"/>
        <v>71.92</v>
      </c>
      <c r="L788" s="1" t="str">
        <f>_xlfn.XLOOKUP(A788,satellite_programs!A:A,satellite_programs!N:N)</f>
        <v>Operations</v>
      </c>
    </row>
    <row r="789" spans="1:12" x14ac:dyDescent="0.5">
      <c r="A789" s="1" t="s">
        <v>52</v>
      </c>
      <c r="B789" s="1" t="s">
        <v>50</v>
      </c>
      <c r="C789" s="1" t="s">
        <v>23</v>
      </c>
      <c r="D789" s="1">
        <v>2016</v>
      </c>
      <c r="E789" s="1" t="s">
        <v>28</v>
      </c>
      <c r="F789" s="1">
        <v>0</v>
      </c>
      <c r="G789" s="1">
        <v>0</v>
      </c>
      <c r="H789" s="1">
        <v>53.6</v>
      </c>
      <c r="I789" s="1">
        <v>18.84</v>
      </c>
      <c r="J789" s="1">
        <v>0</v>
      </c>
      <c r="K789" s="1">
        <f t="shared" si="12"/>
        <v>72.44</v>
      </c>
      <c r="L789" s="1" t="str">
        <f>_xlfn.XLOOKUP(A789,satellite_programs!A:A,satellite_programs!N:N)</f>
        <v>Operations</v>
      </c>
    </row>
    <row r="790" spans="1:12" x14ac:dyDescent="0.5">
      <c r="A790" s="1" t="s">
        <v>52</v>
      </c>
      <c r="B790" s="1" t="s">
        <v>50</v>
      </c>
      <c r="C790" s="1" t="s">
        <v>23</v>
      </c>
      <c r="D790" s="1">
        <v>2017</v>
      </c>
      <c r="E790" s="1" t="s">
        <v>28</v>
      </c>
      <c r="F790" s="1">
        <v>0</v>
      </c>
      <c r="G790" s="1">
        <v>0</v>
      </c>
      <c r="H790" s="1">
        <v>53.6</v>
      </c>
      <c r="I790" s="1">
        <v>19.350000000000001</v>
      </c>
      <c r="J790" s="1">
        <v>0</v>
      </c>
      <c r="K790" s="1">
        <f t="shared" si="12"/>
        <v>72.95</v>
      </c>
      <c r="L790" s="1" t="str">
        <f>_xlfn.XLOOKUP(A790,satellite_programs!A:A,satellite_programs!N:N)</f>
        <v>Operations</v>
      </c>
    </row>
    <row r="791" spans="1:12" x14ac:dyDescent="0.5">
      <c r="A791" s="1" t="s">
        <v>52</v>
      </c>
      <c r="B791" s="1" t="s">
        <v>50</v>
      </c>
      <c r="C791" s="1" t="s">
        <v>23</v>
      </c>
      <c r="D791" s="1">
        <v>2018</v>
      </c>
      <c r="E791" s="1" t="s">
        <v>28</v>
      </c>
      <c r="F791" s="1">
        <v>0</v>
      </c>
      <c r="G791" s="1">
        <v>0</v>
      </c>
      <c r="H791" s="1">
        <v>53.6</v>
      </c>
      <c r="I791" s="1">
        <v>19.87</v>
      </c>
      <c r="J791" s="1">
        <v>0</v>
      </c>
      <c r="K791" s="1">
        <f t="shared" si="12"/>
        <v>73.47</v>
      </c>
      <c r="L791" s="1" t="str">
        <f>_xlfn.XLOOKUP(A791,satellite_programs!A:A,satellite_programs!N:N)</f>
        <v>Operations</v>
      </c>
    </row>
    <row r="792" spans="1:12" x14ac:dyDescent="0.5">
      <c r="A792" s="1" t="s">
        <v>52</v>
      </c>
      <c r="B792" s="1" t="s">
        <v>50</v>
      </c>
      <c r="C792" s="1" t="s">
        <v>23</v>
      </c>
      <c r="D792" s="1">
        <v>2019</v>
      </c>
      <c r="E792" s="1" t="s">
        <v>28</v>
      </c>
      <c r="F792" s="1">
        <v>0</v>
      </c>
      <c r="G792" s="1">
        <v>0</v>
      </c>
      <c r="H792" s="1">
        <v>53.6</v>
      </c>
      <c r="I792" s="1">
        <v>20.39</v>
      </c>
      <c r="J792" s="1">
        <v>0</v>
      </c>
      <c r="K792" s="1">
        <f t="shared" si="12"/>
        <v>73.990000000000009</v>
      </c>
      <c r="L792" s="1" t="str">
        <f>_xlfn.XLOOKUP(A792,satellite_programs!A:A,satellite_programs!N:N)</f>
        <v>Operations</v>
      </c>
    </row>
    <row r="793" spans="1:12" x14ac:dyDescent="0.5">
      <c r="A793" s="1" t="s">
        <v>52</v>
      </c>
      <c r="B793" s="1" t="s">
        <v>50</v>
      </c>
      <c r="C793" s="1" t="s">
        <v>23</v>
      </c>
      <c r="D793" s="1">
        <v>2020</v>
      </c>
      <c r="E793" s="1" t="s">
        <v>28</v>
      </c>
      <c r="F793" s="1">
        <v>0</v>
      </c>
      <c r="G793" s="1">
        <v>0</v>
      </c>
      <c r="H793" s="1">
        <v>53.6</v>
      </c>
      <c r="I793" s="1">
        <v>20.91</v>
      </c>
      <c r="J793" s="1">
        <v>0</v>
      </c>
      <c r="K793" s="1">
        <f t="shared" si="12"/>
        <v>74.510000000000005</v>
      </c>
      <c r="L793" s="1" t="str">
        <f>_xlfn.XLOOKUP(A793,satellite_programs!A:A,satellite_programs!N:N)</f>
        <v>Operations</v>
      </c>
    </row>
    <row r="794" spans="1:12" x14ac:dyDescent="0.5">
      <c r="A794" s="1" t="s">
        <v>52</v>
      </c>
      <c r="B794" s="1" t="s">
        <v>50</v>
      </c>
      <c r="C794" s="1" t="s">
        <v>23</v>
      </c>
      <c r="D794" s="1">
        <v>2021</v>
      </c>
      <c r="E794" s="1" t="s">
        <v>28</v>
      </c>
      <c r="F794" s="1">
        <v>0</v>
      </c>
      <c r="G794" s="1">
        <v>0</v>
      </c>
      <c r="H794" s="1">
        <v>53.6</v>
      </c>
      <c r="I794" s="1">
        <v>21.43</v>
      </c>
      <c r="J794" s="1">
        <v>0</v>
      </c>
      <c r="K794" s="1">
        <f t="shared" si="12"/>
        <v>75.03</v>
      </c>
      <c r="L794" s="1" t="str">
        <f>_xlfn.XLOOKUP(A794,satellite_programs!A:A,satellite_programs!N:N)</f>
        <v>Operations</v>
      </c>
    </row>
    <row r="795" spans="1:12" x14ac:dyDescent="0.5">
      <c r="A795" s="1" t="s">
        <v>52</v>
      </c>
      <c r="B795" s="1" t="s">
        <v>50</v>
      </c>
      <c r="C795" s="1" t="s">
        <v>23</v>
      </c>
      <c r="D795" s="1">
        <v>2022</v>
      </c>
      <c r="E795" s="1" t="s">
        <v>28</v>
      </c>
      <c r="F795" s="1">
        <v>0</v>
      </c>
      <c r="G795" s="1">
        <v>0</v>
      </c>
      <c r="H795" s="1">
        <v>53.6</v>
      </c>
      <c r="I795" s="1">
        <v>21.95</v>
      </c>
      <c r="J795" s="1">
        <v>0</v>
      </c>
      <c r="K795" s="1">
        <f t="shared" si="12"/>
        <v>75.55</v>
      </c>
      <c r="L795" s="1" t="str">
        <f>_xlfn.XLOOKUP(A795,satellite_programs!A:A,satellite_programs!N:N)</f>
        <v>Operations</v>
      </c>
    </row>
    <row r="796" spans="1:12" x14ac:dyDescent="0.5">
      <c r="A796" s="1" t="s">
        <v>52</v>
      </c>
      <c r="B796" s="1" t="s">
        <v>50</v>
      </c>
      <c r="C796" s="1" t="s">
        <v>23</v>
      </c>
      <c r="D796" s="1">
        <v>2023</v>
      </c>
      <c r="E796" s="1" t="s">
        <v>28</v>
      </c>
      <c r="F796" s="1">
        <v>0</v>
      </c>
      <c r="G796" s="1">
        <v>0</v>
      </c>
      <c r="H796" s="1">
        <v>53.6</v>
      </c>
      <c r="I796" s="1">
        <v>22.46</v>
      </c>
      <c r="J796" s="1">
        <v>0</v>
      </c>
      <c r="K796" s="1">
        <f t="shared" si="12"/>
        <v>76.06</v>
      </c>
      <c r="L796" s="1" t="str">
        <f>_xlfn.XLOOKUP(A796,satellite_programs!A:A,satellite_programs!N:N)</f>
        <v>Operations</v>
      </c>
    </row>
    <row r="797" spans="1:12" x14ac:dyDescent="0.5">
      <c r="A797" s="1" t="s">
        <v>52</v>
      </c>
      <c r="B797" s="1" t="s">
        <v>50</v>
      </c>
      <c r="C797" s="1" t="s">
        <v>23</v>
      </c>
      <c r="D797" s="1">
        <v>2024</v>
      </c>
      <c r="E797" s="1" t="s">
        <v>28</v>
      </c>
      <c r="F797" s="1">
        <v>0</v>
      </c>
      <c r="G797" s="1">
        <v>0</v>
      </c>
      <c r="H797" s="1">
        <v>53.6</v>
      </c>
      <c r="I797" s="1">
        <v>22.98</v>
      </c>
      <c r="J797" s="1">
        <v>0</v>
      </c>
      <c r="K797" s="1">
        <f t="shared" si="12"/>
        <v>76.58</v>
      </c>
      <c r="L797" s="1" t="str">
        <f>_xlfn.XLOOKUP(A797,satellite_programs!A:A,satellite_programs!N:N)</f>
        <v>Operations</v>
      </c>
    </row>
    <row r="798" spans="1:12" x14ac:dyDescent="0.5">
      <c r="A798" s="1" t="s">
        <v>52</v>
      </c>
      <c r="B798" s="1" t="s">
        <v>50</v>
      </c>
      <c r="C798" s="1" t="s">
        <v>23</v>
      </c>
      <c r="D798" s="1">
        <v>2026</v>
      </c>
      <c r="E798" s="1" t="s">
        <v>103</v>
      </c>
      <c r="F798" s="1">
        <v>0</v>
      </c>
      <c r="G798" s="1">
        <v>0</v>
      </c>
      <c r="H798" s="1">
        <v>0</v>
      </c>
      <c r="I798" s="1">
        <v>0</v>
      </c>
      <c r="J798" s="1">
        <v>21.8</v>
      </c>
      <c r="K798" s="1">
        <f t="shared" si="12"/>
        <v>21.8</v>
      </c>
      <c r="L798" s="1" t="str">
        <f>_xlfn.XLOOKUP(A798,satellite_programs!A:A,satellite_programs!N:N)</f>
        <v>Operations</v>
      </c>
    </row>
    <row r="799" spans="1:12" x14ac:dyDescent="0.5">
      <c r="A799" s="1" t="s">
        <v>53</v>
      </c>
      <c r="B799" s="1" t="s">
        <v>50</v>
      </c>
      <c r="C799" s="1" t="s">
        <v>23</v>
      </c>
      <c r="D799" s="1">
        <v>2009</v>
      </c>
      <c r="E799" s="1" t="s">
        <v>104</v>
      </c>
      <c r="F799" s="1">
        <v>12.89</v>
      </c>
      <c r="G799" s="1">
        <v>0</v>
      </c>
      <c r="H799" s="1">
        <v>0</v>
      </c>
      <c r="I799" s="1">
        <v>0</v>
      </c>
      <c r="J799" s="1">
        <v>0</v>
      </c>
      <c r="K799" s="1">
        <f t="shared" si="12"/>
        <v>12.89</v>
      </c>
      <c r="L799" s="1" t="str">
        <f>_xlfn.XLOOKUP(A799,satellite_programs!A:A,satellite_programs!N:N)</f>
        <v>Operations</v>
      </c>
    </row>
    <row r="800" spans="1:12" x14ac:dyDescent="0.5">
      <c r="A800" s="1" t="s">
        <v>53</v>
      </c>
      <c r="B800" s="1" t="s">
        <v>50</v>
      </c>
      <c r="C800" s="1" t="s">
        <v>23</v>
      </c>
      <c r="D800" s="1">
        <v>2010</v>
      </c>
      <c r="E800" s="1" t="s">
        <v>104</v>
      </c>
      <c r="F800" s="1">
        <v>25.79</v>
      </c>
      <c r="G800" s="1">
        <v>0</v>
      </c>
      <c r="H800" s="1">
        <v>0</v>
      </c>
      <c r="I800" s="1">
        <v>0</v>
      </c>
      <c r="J800" s="1">
        <v>0</v>
      </c>
      <c r="K800" s="1">
        <f t="shared" si="12"/>
        <v>25.79</v>
      </c>
      <c r="L800" s="1" t="str">
        <f>_xlfn.XLOOKUP(A800,satellite_programs!A:A,satellite_programs!N:N)</f>
        <v>Operations</v>
      </c>
    </row>
    <row r="801" spans="1:12" x14ac:dyDescent="0.5">
      <c r="A801" s="1" t="s">
        <v>53</v>
      </c>
      <c r="B801" s="1" t="s">
        <v>50</v>
      </c>
      <c r="C801" s="1" t="s">
        <v>23</v>
      </c>
      <c r="D801" s="1">
        <v>2011</v>
      </c>
      <c r="E801" s="1" t="s">
        <v>104</v>
      </c>
      <c r="F801" s="1">
        <v>46.41</v>
      </c>
      <c r="G801" s="1">
        <v>0</v>
      </c>
      <c r="H801" s="1">
        <v>0</v>
      </c>
      <c r="I801" s="1">
        <v>0</v>
      </c>
      <c r="J801" s="1">
        <v>0</v>
      </c>
      <c r="K801" s="1">
        <f t="shared" si="12"/>
        <v>46.41</v>
      </c>
      <c r="L801" s="1" t="str">
        <f>_xlfn.XLOOKUP(A801,satellite_programs!A:A,satellite_programs!N:N)</f>
        <v>Operations</v>
      </c>
    </row>
    <row r="802" spans="1:12" x14ac:dyDescent="0.5">
      <c r="A802" s="1" t="s">
        <v>53</v>
      </c>
      <c r="B802" s="1" t="s">
        <v>50</v>
      </c>
      <c r="C802" s="1" t="s">
        <v>23</v>
      </c>
      <c r="D802" s="1">
        <v>2012</v>
      </c>
      <c r="E802" s="1" t="s">
        <v>104</v>
      </c>
      <c r="F802" s="1">
        <v>56.73</v>
      </c>
      <c r="G802" s="1">
        <v>0</v>
      </c>
      <c r="H802" s="1">
        <v>0</v>
      </c>
      <c r="I802" s="1">
        <v>0</v>
      </c>
      <c r="J802" s="1">
        <v>0</v>
      </c>
      <c r="K802" s="1">
        <f t="shared" si="12"/>
        <v>56.73</v>
      </c>
      <c r="L802" s="1" t="str">
        <f>_xlfn.XLOOKUP(A802,satellite_programs!A:A,satellite_programs!N:N)</f>
        <v>Operations</v>
      </c>
    </row>
    <row r="803" spans="1:12" x14ac:dyDescent="0.5">
      <c r="A803" s="1" t="s">
        <v>53</v>
      </c>
      <c r="B803" s="1" t="s">
        <v>50</v>
      </c>
      <c r="C803" s="1" t="s">
        <v>23</v>
      </c>
      <c r="D803" s="1">
        <v>2013</v>
      </c>
      <c r="E803" s="1" t="s">
        <v>104</v>
      </c>
      <c r="F803" s="1">
        <v>51.57</v>
      </c>
      <c r="G803" s="1">
        <v>0</v>
      </c>
      <c r="H803" s="1">
        <v>0</v>
      </c>
      <c r="I803" s="1">
        <v>0</v>
      </c>
      <c r="J803" s="1">
        <v>0</v>
      </c>
      <c r="K803" s="1">
        <f t="shared" si="12"/>
        <v>51.57</v>
      </c>
      <c r="L803" s="1" t="str">
        <f>_xlfn.XLOOKUP(A803,satellite_programs!A:A,satellite_programs!N:N)</f>
        <v>Operations</v>
      </c>
    </row>
    <row r="804" spans="1:12" x14ac:dyDescent="0.5">
      <c r="A804" s="1" t="s">
        <v>53</v>
      </c>
      <c r="B804" s="1" t="s">
        <v>50</v>
      </c>
      <c r="C804" s="1" t="s">
        <v>23</v>
      </c>
      <c r="D804" s="1">
        <v>2014</v>
      </c>
      <c r="E804" s="1" t="s">
        <v>104</v>
      </c>
      <c r="F804" s="1">
        <v>33.520000000000003</v>
      </c>
      <c r="G804" s="1">
        <v>54.46</v>
      </c>
      <c r="H804" s="1">
        <v>0</v>
      </c>
      <c r="I804" s="1">
        <v>0</v>
      </c>
      <c r="J804" s="1">
        <v>0</v>
      </c>
      <c r="K804" s="1">
        <f t="shared" si="12"/>
        <v>87.98</v>
      </c>
      <c r="L804" s="1" t="str">
        <f>_xlfn.XLOOKUP(A804,satellite_programs!A:A,satellite_programs!N:N)</f>
        <v>Operations</v>
      </c>
    </row>
    <row r="805" spans="1:12" x14ac:dyDescent="0.5">
      <c r="A805" s="1" t="s">
        <v>53</v>
      </c>
      <c r="B805" s="1" t="s">
        <v>50</v>
      </c>
      <c r="C805" s="1" t="s">
        <v>23</v>
      </c>
      <c r="D805" s="1">
        <v>2015</v>
      </c>
      <c r="E805" s="1" t="s">
        <v>104</v>
      </c>
      <c r="F805" s="1">
        <v>20.63</v>
      </c>
      <c r="G805" s="1">
        <v>44.56</v>
      </c>
      <c r="H805" s="1">
        <v>0</v>
      </c>
      <c r="I805" s="1">
        <v>0</v>
      </c>
      <c r="J805" s="1">
        <v>0</v>
      </c>
      <c r="K805" s="1">
        <f t="shared" si="12"/>
        <v>65.19</v>
      </c>
      <c r="L805" s="1" t="str">
        <f>_xlfn.XLOOKUP(A805,satellite_programs!A:A,satellite_programs!N:N)</f>
        <v>Operations</v>
      </c>
    </row>
    <row r="806" spans="1:12" x14ac:dyDescent="0.5">
      <c r="A806" s="1" t="s">
        <v>53</v>
      </c>
      <c r="B806" s="1" t="s">
        <v>50</v>
      </c>
      <c r="C806" s="1" t="s">
        <v>23</v>
      </c>
      <c r="D806" s="1">
        <v>2016</v>
      </c>
      <c r="E806" s="1" t="s">
        <v>28</v>
      </c>
      <c r="F806" s="1">
        <v>0</v>
      </c>
      <c r="G806" s="1">
        <v>0</v>
      </c>
      <c r="H806" s="1">
        <v>54.2</v>
      </c>
      <c r="I806" s="1">
        <v>17.760000000000002</v>
      </c>
      <c r="J806" s="1">
        <v>0</v>
      </c>
      <c r="K806" s="1">
        <f t="shared" si="12"/>
        <v>71.960000000000008</v>
      </c>
      <c r="L806" s="1" t="str">
        <f>_xlfn.XLOOKUP(A806,satellite_programs!A:A,satellite_programs!N:N)</f>
        <v>Operations</v>
      </c>
    </row>
    <row r="807" spans="1:12" x14ac:dyDescent="0.5">
      <c r="A807" s="1" t="s">
        <v>53</v>
      </c>
      <c r="B807" s="1" t="s">
        <v>50</v>
      </c>
      <c r="C807" s="1" t="s">
        <v>23</v>
      </c>
      <c r="D807" s="1">
        <v>2017</v>
      </c>
      <c r="E807" s="1" t="s">
        <v>28</v>
      </c>
      <c r="F807" s="1">
        <v>0</v>
      </c>
      <c r="G807" s="1">
        <v>0</v>
      </c>
      <c r="H807" s="1">
        <v>54.2</v>
      </c>
      <c r="I807" s="1">
        <v>18.29</v>
      </c>
      <c r="J807" s="1">
        <v>0</v>
      </c>
      <c r="K807" s="1">
        <f t="shared" si="12"/>
        <v>72.490000000000009</v>
      </c>
      <c r="L807" s="1" t="str">
        <f>_xlfn.XLOOKUP(A807,satellite_programs!A:A,satellite_programs!N:N)</f>
        <v>Operations</v>
      </c>
    </row>
    <row r="808" spans="1:12" x14ac:dyDescent="0.5">
      <c r="A808" s="1" t="s">
        <v>53</v>
      </c>
      <c r="B808" s="1" t="s">
        <v>50</v>
      </c>
      <c r="C808" s="1" t="s">
        <v>23</v>
      </c>
      <c r="D808" s="1">
        <v>2018</v>
      </c>
      <c r="E808" s="1" t="s">
        <v>28</v>
      </c>
      <c r="F808" s="1">
        <v>0</v>
      </c>
      <c r="G808" s="1">
        <v>0</v>
      </c>
      <c r="H808" s="1">
        <v>54.2</v>
      </c>
      <c r="I808" s="1">
        <v>18.829999999999998</v>
      </c>
      <c r="J808" s="1">
        <v>0</v>
      </c>
      <c r="K808" s="1">
        <f t="shared" si="12"/>
        <v>73.03</v>
      </c>
      <c r="L808" s="1" t="str">
        <f>_xlfn.XLOOKUP(A808,satellite_programs!A:A,satellite_programs!N:N)</f>
        <v>Operations</v>
      </c>
    </row>
    <row r="809" spans="1:12" x14ac:dyDescent="0.5">
      <c r="A809" s="1" t="s">
        <v>53</v>
      </c>
      <c r="B809" s="1" t="s">
        <v>50</v>
      </c>
      <c r="C809" s="1" t="s">
        <v>23</v>
      </c>
      <c r="D809" s="1">
        <v>2019</v>
      </c>
      <c r="E809" s="1" t="s">
        <v>28</v>
      </c>
      <c r="F809" s="1">
        <v>0</v>
      </c>
      <c r="G809" s="1">
        <v>0</v>
      </c>
      <c r="H809" s="1">
        <v>54.2</v>
      </c>
      <c r="I809" s="1">
        <v>19.36</v>
      </c>
      <c r="J809" s="1">
        <v>0</v>
      </c>
      <c r="K809" s="1">
        <f t="shared" si="12"/>
        <v>73.56</v>
      </c>
      <c r="L809" s="1" t="str">
        <f>_xlfn.XLOOKUP(A809,satellite_programs!A:A,satellite_programs!N:N)</f>
        <v>Operations</v>
      </c>
    </row>
    <row r="810" spans="1:12" x14ac:dyDescent="0.5">
      <c r="A810" s="1" t="s">
        <v>53</v>
      </c>
      <c r="B810" s="1" t="s">
        <v>50</v>
      </c>
      <c r="C810" s="1" t="s">
        <v>23</v>
      </c>
      <c r="D810" s="1">
        <v>2020</v>
      </c>
      <c r="E810" s="1" t="s">
        <v>28</v>
      </c>
      <c r="F810" s="1">
        <v>0</v>
      </c>
      <c r="G810" s="1">
        <v>0</v>
      </c>
      <c r="H810" s="1">
        <v>54.2</v>
      </c>
      <c r="I810" s="1">
        <v>19.89</v>
      </c>
      <c r="J810" s="1">
        <v>0</v>
      </c>
      <c r="K810" s="1">
        <f t="shared" si="12"/>
        <v>74.09</v>
      </c>
      <c r="L810" s="1" t="str">
        <f>_xlfn.XLOOKUP(A810,satellite_programs!A:A,satellite_programs!N:N)</f>
        <v>Operations</v>
      </c>
    </row>
    <row r="811" spans="1:12" x14ac:dyDescent="0.5">
      <c r="A811" s="1" t="s">
        <v>53</v>
      </c>
      <c r="B811" s="1" t="s">
        <v>50</v>
      </c>
      <c r="C811" s="1" t="s">
        <v>23</v>
      </c>
      <c r="D811" s="1">
        <v>2021</v>
      </c>
      <c r="E811" s="1" t="s">
        <v>28</v>
      </c>
      <c r="F811" s="1">
        <v>0</v>
      </c>
      <c r="G811" s="1">
        <v>0</v>
      </c>
      <c r="H811" s="1">
        <v>54.2</v>
      </c>
      <c r="I811" s="1">
        <v>20.420000000000002</v>
      </c>
      <c r="J811" s="1">
        <v>0</v>
      </c>
      <c r="K811" s="1">
        <f t="shared" si="12"/>
        <v>74.62</v>
      </c>
      <c r="L811" s="1" t="str">
        <f>_xlfn.XLOOKUP(A811,satellite_programs!A:A,satellite_programs!N:N)</f>
        <v>Operations</v>
      </c>
    </row>
    <row r="812" spans="1:12" x14ac:dyDescent="0.5">
      <c r="A812" s="1" t="s">
        <v>53</v>
      </c>
      <c r="B812" s="1" t="s">
        <v>50</v>
      </c>
      <c r="C812" s="1" t="s">
        <v>23</v>
      </c>
      <c r="D812" s="1">
        <v>2022</v>
      </c>
      <c r="E812" s="1" t="s">
        <v>28</v>
      </c>
      <c r="F812" s="1">
        <v>0</v>
      </c>
      <c r="G812" s="1">
        <v>0</v>
      </c>
      <c r="H812" s="1">
        <v>54.2</v>
      </c>
      <c r="I812" s="1">
        <v>20.96</v>
      </c>
      <c r="J812" s="1">
        <v>0</v>
      </c>
      <c r="K812" s="1">
        <f t="shared" si="12"/>
        <v>75.16</v>
      </c>
      <c r="L812" s="1" t="str">
        <f>_xlfn.XLOOKUP(A812,satellite_programs!A:A,satellite_programs!N:N)</f>
        <v>Operations</v>
      </c>
    </row>
    <row r="813" spans="1:12" x14ac:dyDescent="0.5">
      <c r="A813" s="1" t="s">
        <v>53</v>
      </c>
      <c r="B813" s="1" t="s">
        <v>50</v>
      </c>
      <c r="C813" s="1" t="s">
        <v>23</v>
      </c>
      <c r="D813" s="1">
        <v>2023</v>
      </c>
      <c r="E813" s="1" t="s">
        <v>28</v>
      </c>
      <c r="F813" s="1">
        <v>0</v>
      </c>
      <c r="G813" s="1">
        <v>0</v>
      </c>
      <c r="H813" s="1">
        <v>54.2</v>
      </c>
      <c r="I813" s="1">
        <v>21.49</v>
      </c>
      <c r="J813" s="1">
        <v>0</v>
      </c>
      <c r="K813" s="1">
        <f t="shared" si="12"/>
        <v>75.69</v>
      </c>
      <c r="L813" s="1" t="str">
        <f>_xlfn.XLOOKUP(A813,satellite_programs!A:A,satellite_programs!N:N)</f>
        <v>Operations</v>
      </c>
    </row>
    <row r="814" spans="1:12" x14ac:dyDescent="0.5">
      <c r="A814" s="1" t="s">
        <v>53</v>
      </c>
      <c r="B814" s="1" t="s">
        <v>50</v>
      </c>
      <c r="C814" s="1" t="s">
        <v>23</v>
      </c>
      <c r="D814" s="1">
        <v>2024</v>
      </c>
      <c r="E814" s="1" t="s">
        <v>28</v>
      </c>
      <c r="F814" s="1">
        <v>0</v>
      </c>
      <c r="G814" s="1">
        <v>0</v>
      </c>
      <c r="H814" s="1">
        <v>54.2</v>
      </c>
      <c r="I814" s="1">
        <v>22.02</v>
      </c>
      <c r="J814" s="1">
        <v>0</v>
      </c>
      <c r="K814" s="1">
        <f t="shared" si="12"/>
        <v>76.22</v>
      </c>
      <c r="L814" s="1" t="str">
        <f>_xlfn.XLOOKUP(A814,satellite_programs!A:A,satellite_programs!N:N)</f>
        <v>Operations</v>
      </c>
    </row>
    <row r="815" spans="1:12" x14ac:dyDescent="0.5">
      <c r="A815" s="1" t="s">
        <v>53</v>
      </c>
      <c r="B815" s="1" t="s">
        <v>50</v>
      </c>
      <c r="C815" s="1" t="s">
        <v>23</v>
      </c>
      <c r="D815" s="1">
        <v>2025</v>
      </c>
      <c r="E815" s="1" t="s">
        <v>28</v>
      </c>
      <c r="F815" s="1">
        <v>0</v>
      </c>
      <c r="G815" s="1">
        <v>0</v>
      </c>
      <c r="H815" s="1">
        <v>54.2</v>
      </c>
      <c r="I815" s="1">
        <v>22.56</v>
      </c>
      <c r="J815" s="1">
        <v>0</v>
      </c>
      <c r="K815" s="1">
        <f t="shared" si="12"/>
        <v>76.760000000000005</v>
      </c>
      <c r="L815" s="1" t="str">
        <f>_xlfn.XLOOKUP(A815,satellite_programs!A:A,satellite_programs!N:N)</f>
        <v>Operations</v>
      </c>
    </row>
    <row r="816" spans="1:12" x14ac:dyDescent="0.5">
      <c r="A816" s="1" t="s">
        <v>53</v>
      </c>
      <c r="B816" s="1" t="s">
        <v>50</v>
      </c>
      <c r="C816" s="1" t="s">
        <v>23</v>
      </c>
      <c r="D816" s="1">
        <v>2026</v>
      </c>
      <c r="E816" s="1" t="s">
        <v>28</v>
      </c>
      <c r="F816" s="1">
        <v>0</v>
      </c>
      <c r="G816" s="1">
        <v>0</v>
      </c>
      <c r="H816" s="1">
        <v>54.2</v>
      </c>
      <c r="I816" s="1">
        <v>23.09</v>
      </c>
      <c r="J816" s="1">
        <v>0</v>
      </c>
      <c r="K816" s="1">
        <f t="shared" si="12"/>
        <v>77.290000000000006</v>
      </c>
      <c r="L816" s="1" t="str">
        <f>_xlfn.XLOOKUP(A816,satellite_programs!A:A,satellite_programs!N:N)</f>
        <v>Operations</v>
      </c>
    </row>
    <row r="817" spans="1:12" x14ac:dyDescent="0.5">
      <c r="A817" s="1" t="s">
        <v>53</v>
      </c>
      <c r="B817" s="1" t="s">
        <v>50</v>
      </c>
      <c r="C817" s="1" t="s">
        <v>23</v>
      </c>
      <c r="D817" s="1">
        <v>2027</v>
      </c>
      <c r="E817" s="1" t="s">
        <v>28</v>
      </c>
      <c r="F817" s="1">
        <v>0</v>
      </c>
      <c r="G817" s="1">
        <v>0</v>
      </c>
      <c r="H817" s="1">
        <v>54.2</v>
      </c>
      <c r="I817" s="1">
        <v>23.62</v>
      </c>
      <c r="J817" s="1">
        <v>0</v>
      </c>
      <c r="K817" s="1">
        <f t="shared" si="12"/>
        <v>77.820000000000007</v>
      </c>
      <c r="L817" s="1" t="str">
        <f>_xlfn.XLOOKUP(A817,satellite_programs!A:A,satellite_programs!N:N)</f>
        <v>Operations</v>
      </c>
    </row>
    <row r="818" spans="1:12" x14ac:dyDescent="0.5">
      <c r="A818" s="1" t="s">
        <v>53</v>
      </c>
      <c r="B818" s="1" t="s">
        <v>50</v>
      </c>
      <c r="C818" s="1" t="s">
        <v>23</v>
      </c>
      <c r="D818" s="1">
        <v>2029</v>
      </c>
      <c r="E818" s="1" t="s">
        <v>103</v>
      </c>
      <c r="F818" s="1">
        <v>0</v>
      </c>
      <c r="G818" s="1">
        <v>0</v>
      </c>
      <c r="H818" s="1">
        <v>0</v>
      </c>
      <c r="I818" s="1">
        <v>0</v>
      </c>
      <c r="J818" s="1">
        <v>22.1</v>
      </c>
      <c r="K818" s="1">
        <f t="shared" si="12"/>
        <v>22.1</v>
      </c>
      <c r="L818" s="1" t="str">
        <f>_xlfn.XLOOKUP(A818,satellite_programs!A:A,satellite_programs!N:N)</f>
        <v>Operations</v>
      </c>
    </row>
    <row r="819" spans="1:12" x14ac:dyDescent="0.5">
      <c r="A819" s="1" t="s">
        <v>54</v>
      </c>
      <c r="B819" s="1" t="s">
        <v>50</v>
      </c>
      <c r="C819" s="1" t="s">
        <v>23</v>
      </c>
      <c r="D819" s="1">
        <v>2013</v>
      </c>
      <c r="E819" s="1" t="s">
        <v>104</v>
      </c>
      <c r="F819" s="1">
        <v>14.73</v>
      </c>
      <c r="G819" s="1">
        <v>0</v>
      </c>
      <c r="H819" s="1">
        <v>0</v>
      </c>
      <c r="I819" s="1">
        <v>0</v>
      </c>
      <c r="J819" s="1">
        <v>0</v>
      </c>
      <c r="K819" s="1">
        <f t="shared" si="12"/>
        <v>14.73</v>
      </c>
      <c r="L819" s="1" t="str">
        <f>_xlfn.XLOOKUP(A819,satellite_programs!A:A,satellite_programs!N:N)</f>
        <v>Operations</v>
      </c>
    </row>
    <row r="820" spans="1:12" x14ac:dyDescent="0.5">
      <c r="A820" s="1" t="s">
        <v>54</v>
      </c>
      <c r="B820" s="1" t="s">
        <v>50</v>
      </c>
      <c r="C820" s="1" t="s">
        <v>23</v>
      </c>
      <c r="D820" s="1">
        <v>2014</v>
      </c>
      <c r="E820" s="1" t="s">
        <v>104</v>
      </c>
      <c r="F820" s="1">
        <v>29.47</v>
      </c>
      <c r="G820" s="1">
        <v>0</v>
      </c>
      <c r="H820" s="1">
        <v>0</v>
      </c>
      <c r="I820" s="1">
        <v>0</v>
      </c>
      <c r="J820" s="1">
        <v>0</v>
      </c>
      <c r="K820" s="1">
        <f t="shared" si="12"/>
        <v>29.47</v>
      </c>
      <c r="L820" s="1" t="str">
        <f>_xlfn.XLOOKUP(A820,satellite_programs!A:A,satellite_programs!N:N)</f>
        <v>Operations</v>
      </c>
    </row>
    <row r="821" spans="1:12" x14ac:dyDescent="0.5">
      <c r="A821" s="1" t="s">
        <v>54</v>
      </c>
      <c r="B821" s="1" t="s">
        <v>50</v>
      </c>
      <c r="C821" s="1" t="s">
        <v>23</v>
      </c>
      <c r="D821" s="1">
        <v>2015</v>
      </c>
      <c r="E821" s="1" t="s">
        <v>104</v>
      </c>
      <c r="F821" s="1">
        <v>53.04</v>
      </c>
      <c r="G821" s="1">
        <v>0</v>
      </c>
      <c r="H821" s="1">
        <v>0</v>
      </c>
      <c r="I821" s="1">
        <v>0</v>
      </c>
      <c r="J821" s="1">
        <v>0</v>
      </c>
      <c r="K821" s="1">
        <f t="shared" si="12"/>
        <v>53.04</v>
      </c>
      <c r="L821" s="1" t="str">
        <f>_xlfn.XLOOKUP(A821,satellite_programs!A:A,satellite_programs!N:N)</f>
        <v>Operations</v>
      </c>
    </row>
    <row r="822" spans="1:12" x14ac:dyDescent="0.5">
      <c r="A822" s="1" t="s">
        <v>54</v>
      </c>
      <c r="B822" s="1" t="s">
        <v>50</v>
      </c>
      <c r="C822" s="1" t="s">
        <v>23</v>
      </c>
      <c r="D822" s="1">
        <v>2016</v>
      </c>
      <c r="E822" s="1" t="s">
        <v>104</v>
      </c>
      <c r="F822" s="1">
        <v>64.83</v>
      </c>
      <c r="G822" s="1">
        <v>0</v>
      </c>
      <c r="H822" s="1">
        <v>0</v>
      </c>
      <c r="I822" s="1">
        <v>0</v>
      </c>
      <c r="J822" s="1">
        <v>0</v>
      </c>
      <c r="K822" s="1">
        <f t="shared" si="12"/>
        <v>64.83</v>
      </c>
      <c r="L822" s="1" t="str">
        <f>_xlfn.XLOOKUP(A822,satellite_programs!A:A,satellite_programs!N:N)</f>
        <v>Operations</v>
      </c>
    </row>
    <row r="823" spans="1:12" x14ac:dyDescent="0.5">
      <c r="A823" s="1" t="s">
        <v>54</v>
      </c>
      <c r="B823" s="1" t="s">
        <v>50</v>
      </c>
      <c r="C823" s="1" t="s">
        <v>23</v>
      </c>
      <c r="D823" s="1">
        <v>2017</v>
      </c>
      <c r="E823" s="1" t="s">
        <v>104</v>
      </c>
      <c r="F823" s="1">
        <v>58.93</v>
      </c>
      <c r="G823" s="1">
        <v>0</v>
      </c>
      <c r="H823" s="1">
        <v>0</v>
      </c>
      <c r="I823" s="1">
        <v>0</v>
      </c>
      <c r="J823" s="1">
        <v>0</v>
      </c>
      <c r="K823" s="1">
        <f t="shared" si="12"/>
        <v>58.93</v>
      </c>
      <c r="L823" s="1" t="str">
        <f>_xlfn.XLOOKUP(A823,satellite_programs!A:A,satellite_programs!N:N)</f>
        <v>Operations</v>
      </c>
    </row>
    <row r="824" spans="1:12" x14ac:dyDescent="0.5">
      <c r="A824" s="1" t="s">
        <v>54</v>
      </c>
      <c r="B824" s="1" t="s">
        <v>50</v>
      </c>
      <c r="C824" s="1" t="s">
        <v>23</v>
      </c>
      <c r="D824" s="1">
        <v>2018</v>
      </c>
      <c r="E824" s="1" t="s">
        <v>104</v>
      </c>
      <c r="F824" s="1">
        <v>38.31</v>
      </c>
      <c r="G824" s="1">
        <v>62.23</v>
      </c>
      <c r="H824" s="1">
        <v>0</v>
      </c>
      <c r="I824" s="1">
        <v>0</v>
      </c>
      <c r="J824" s="1">
        <v>0</v>
      </c>
      <c r="K824" s="1">
        <f t="shared" si="12"/>
        <v>100.53999999999999</v>
      </c>
      <c r="L824" s="1" t="str">
        <f>_xlfn.XLOOKUP(A824,satellite_programs!A:A,satellite_programs!N:N)</f>
        <v>Operations</v>
      </c>
    </row>
    <row r="825" spans="1:12" x14ac:dyDescent="0.5">
      <c r="A825" s="1" t="s">
        <v>54</v>
      </c>
      <c r="B825" s="1" t="s">
        <v>50</v>
      </c>
      <c r="C825" s="1" t="s">
        <v>23</v>
      </c>
      <c r="D825" s="1">
        <v>2019</v>
      </c>
      <c r="E825" s="1" t="s">
        <v>104</v>
      </c>
      <c r="F825" s="1">
        <v>23.57</v>
      </c>
      <c r="G825" s="1">
        <v>50.92</v>
      </c>
      <c r="H825" s="1">
        <v>0</v>
      </c>
      <c r="I825" s="1">
        <v>0</v>
      </c>
      <c r="J825" s="1">
        <v>0</v>
      </c>
      <c r="K825" s="1">
        <f t="shared" si="12"/>
        <v>74.490000000000009</v>
      </c>
      <c r="L825" s="1" t="str">
        <f>_xlfn.XLOOKUP(A825,satellite_programs!A:A,satellite_programs!N:N)</f>
        <v>Operations</v>
      </c>
    </row>
    <row r="826" spans="1:12" x14ac:dyDescent="0.5">
      <c r="A826" s="1" t="s">
        <v>54</v>
      </c>
      <c r="B826" s="1" t="s">
        <v>50</v>
      </c>
      <c r="C826" s="1" t="s">
        <v>23</v>
      </c>
      <c r="D826" s="1">
        <v>2020</v>
      </c>
      <c r="E826" s="1" t="s">
        <v>28</v>
      </c>
      <c r="F826" s="1">
        <v>0</v>
      </c>
      <c r="G826" s="1">
        <v>0</v>
      </c>
      <c r="H826" s="1">
        <v>56.6</v>
      </c>
      <c r="I826" s="1">
        <v>18.239999999999998</v>
      </c>
      <c r="J826" s="1">
        <v>0</v>
      </c>
      <c r="K826" s="1">
        <f t="shared" si="12"/>
        <v>74.84</v>
      </c>
      <c r="L826" s="1" t="str">
        <f>_xlfn.XLOOKUP(A826,satellite_programs!A:A,satellite_programs!N:N)</f>
        <v>Operations</v>
      </c>
    </row>
    <row r="827" spans="1:12" x14ac:dyDescent="0.5">
      <c r="A827" s="1" t="s">
        <v>54</v>
      </c>
      <c r="B827" s="1" t="s">
        <v>50</v>
      </c>
      <c r="C827" s="1" t="s">
        <v>23</v>
      </c>
      <c r="D827" s="1">
        <v>2021</v>
      </c>
      <c r="E827" s="1" t="s">
        <v>28</v>
      </c>
      <c r="F827" s="1">
        <v>0</v>
      </c>
      <c r="G827" s="1">
        <v>0</v>
      </c>
      <c r="H827" s="1">
        <v>56.6</v>
      </c>
      <c r="I827" s="1">
        <v>18.79</v>
      </c>
      <c r="J827" s="1">
        <v>0</v>
      </c>
      <c r="K827" s="1">
        <f t="shared" si="12"/>
        <v>75.39</v>
      </c>
      <c r="L827" s="1" t="str">
        <f>_xlfn.XLOOKUP(A827,satellite_programs!A:A,satellite_programs!N:N)</f>
        <v>Operations</v>
      </c>
    </row>
    <row r="828" spans="1:12" x14ac:dyDescent="0.5">
      <c r="A828" s="1" t="s">
        <v>54</v>
      </c>
      <c r="B828" s="1" t="s">
        <v>50</v>
      </c>
      <c r="C828" s="1" t="s">
        <v>23</v>
      </c>
      <c r="D828" s="1">
        <v>2022</v>
      </c>
      <c r="E828" s="1" t="s">
        <v>28</v>
      </c>
      <c r="F828" s="1">
        <v>0</v>
      </c>
      <c r="G828" s="1">
        <v>0</v>
      </c>
      <c r="H828" s="1">
        <v>56.6</v>
      </c>
      <c r="I828" s="1">
        <v>19.329999999999998</v>
      </c>
      <c r="J828" s="1">
        <v>0</v>
      </c>
      <c r="K828" s="1">
        <f t="shared" si="12"/>
        <v>75.930000000000007</v>
      </c>
      <c r="L828" s="1" t="str">
        <f>_xlfn.XLOOKUP(A828,satellite_programs!A:A,satellite_programs!N:N)</f>
        <v>Operations</v>
      </c>
    </row>
    <row r="829" spans="1:12" x14ac:dyDescent="0.5">
      <c r="A829" s="1" t="s">
        <v>54</v>
      </c>
      <c r="B829" s="1" t="s">
        <v>50</v>
      </c>
      <c r="C829" s="1" t="s">
        <v>23</v>
      </c>
      <c r="D829" s="1">
        <v>2023</v>
      </c>
      <c r="E829" s="1" t="s">
        <v>28</v>
      </c>
      <c r="F829" s="1">
        <v>0</v>
      </c>
      <c r="G829" s="1">
        <v>0</v>
      </c>
      <c r="H829" s="1">
        <v>56.6</v>
      </c>
      <c r="I829" s="1">
        <v>19.88</v>
      </c>
      <c r="J829" s="1">
        <v>0</v>
      </c>
      <c r="K829" s="1">
        <f t="shared" si="12"/>
        <v>76.48</v>
      </c>
      <c r="L829" s="1" t="str">
        <f>_xlfn.XLOOKUP(A829,satellite_programs!A:A,satellite_programs!N:N)</f>
        <v>Operations</v>
      </c>
    </row>
    <row r="830" spans="1:12" x14ac:dyDescent="0.5">
      <c r="A830" s="1" t="s">
        <v>54</v>
      </c>
      <c r="B830" s="1" t="s">
        <v>50</v>
      </c>
      <c r="C830" s="1" t="s">
        <v>23</v>
      </c>
      <c r="D830" s="1">
        <v>2024</v>
      </c>
      <c r="E830" s="1" t="s">
        <v>28</v>
      </c>
      <c r="F830" s="1">
        <v>0</v>
      </c>
      <c r="G830" s="1">
        <v>0</v>
      </c>
      <c r="H830" s="1">
        <v>56.6</v>
      </c>
      <c r="I830" s="1">
        <v>20.43</v>
      </c>
      <c r="J830" s="1">
        <v>0</v>
      </c>
      <c r="K830" s="1">
        <f t="shared" si="12"/>
        <v>77.03</v>
      </c>
      <c r="L830" s="1" t="str">
        <f>_xlfn.XLOOKUP(A830,satellite_programs!A:A,satellite_programs!N:N)</f>
        <v>Operations</v>
      </c>
    </row>
    <row r="831" spans="1:12" x14ac:dyDescent="0.5">
      <c r="A831" s="1" t="s">
        <v>54</v>
      </c>
      <c r="B831" s="1" t="s">
        <v>50</v>
      </c>
      <c r="C831" s="1" t="s">
        <v>23</v>
      </c>
      <c r="D831" s="1">
        <v>2025</v>
      </c>
      <c r="E831" s="1" t="s">
        <v>28</v>
      </c>
      <c r="F831" s="1">
        <v>0</v>
      </c>
      <c r="G831" s="1">
        <v>0</v>
      </c>
      <c r="H831" s="1">
        <v>56.6</v>
      </c>
      <c r="I831" s="1">
        <v>20.98</v>
      </c>
      <c r="J831" s="1">
        <v>0</v>
      </c>
      <c r="K831" s="1">
        <f t="shared" si="12"/>
        <v>77.58</v>
      </c>
      <c r="L831" s="1" t="str">
        <f>_xlfn.XLOOKUP(A831,satellite_programs!A:A,satellite_programs!N:N)</f>
        <v>Operations</v>
      </c>
    </row>
    <row r="832" spans="1:12" x14ac:dyDescent="0.5">
      <c r="A832" s="1" t="s">
        <v>54</v>
      </c>
      <c r="B832" s="1" t="s">
        <v>50</v>
      </c>
      <c r="C832" s="1" t="s">
        <v>23</v>
      </c>
      <c r="D832" s="1">
        <v>2026</v>
      </c>
      <c r="E832" s="1" t="s">
        <v>28</v>
      </c>
      <c r="F832" s="1">
        <v>0</v>
      </c>
      <c r="G832" s="1">
        <v>0</v>
      </c>
      <c r="H832" s="1">
        <v>56.6</v>
      </c>
      <c r="I832" s="1">
        <v>21.52</v>
      </c>
      <c r="J832" s="1">
        <v>0</v>
      </c>
      <c r="K832" s="1">
        <f t="shared" si="12"/>
        <v>78.12</v>
      </c>
      <c r="L832" s="1" t="str">
        <f>_xlfn.XLOOKUP(A832,satellite_programs!A:A,satellite_programs!N:N)</f>
        <v>Operations</v>
      </c>
    </row>
    <row r="833" spans="1:12" x14ac:dyDescent="0.5">
      <c r="A833" s="1" t="s">
        <v>54</v>
      </c>
      <c r="B833" s="1" t="s">
        <v>50</v>
      </c>
      <c r="C833" s="1" t="s">
        <v>23</v>
      </c>
      <c r="D833" s="1">
        <v>2027</v>
      </c>
      <c r="E833" s="1" t="s">
        <v>28</v>
      </c>
      <c r="F833" s="1">
        <v>0</v>
      </c>
      <c r="G833" s="1">
        <v>0</v>
      </c>
      <c r="H833" s="1">
        <v>56.6</v>
      </c>
      <c r="I833" s="1">
        <v>22.07</v>
      </c>
      <c r="J833" s="1">
        <v>0</v>
      </c>
      <c r="K833" s="1">
        <f t="shared" si="12"/>
        <v>78.67</v>
      </c>
      <c r="L833" s="1" t="str">
        <f>_xlfn.XLOOKUP(A833,satellite_programs!A:A,satellite_programs!N:N)</f>
        <v>Operations</v>
      </c>
    </row>
    <row r="834" spans="1:12" x14ac:dyDescent="0.5">
      <c r="A834" s="1" t="s">
        <v>54</v>
      </c>
      <c r="B834" s="1" t="s">
        <v>50</v>
      </c>
      <c r="C834" s="1" t="s">
        <v>23</v>
      </c>
      <c r="D834" s="1">
        <v>2028</v>
      </c>
      <c r="E834" s="1" t="s">
        <v>28</v>
      </c>
      <c r="F834" s="1">
        <v>0</v>
      </c>
      <c r="G834" s="1">
        <v>0</v>
      </c>
      <c r="H834" s="1">
        <v>56.6</v>
      </c>
      <c r="I834" s="1">
        <v>22.62</v>
      </c>
      <c r="J834" s="1">
        <v>0</v>
      </c>
      <c r="K834" s="1">
        <f t="shared" ref="K834:K897" si="13">SUM(F834:J834)</f>
        <v>79.22</v>
      </c>
      <c r="L834" s="1" t="str">
        <f>_xlfn.XLOOKUP(A834,satellite_programs!A:A,satellite_programs!N:N)</f>
        <v>Operations</v>
      </c>
    </row>
    <row r="835" spans="1:12" x14ac:dyDescent="0.5">
      <c r="A835" s="1" t="s">
        <v>54</v>
      </c>
      <c r="B835" s="1" t="s">
        <v>50</v>
      </c>
      <c r="C835" s="1" t="s">
        <v>23</v>
      </c>
      <c r="D835" s="1">
        <v>2029</v>
      </c>
      <c r="E835" s="1" t="s">
        <v>28</v>
      </c>
      <c r="F835" s="1">
        <v>0</v>
      </c>
      <c r="G835" s="1">
        <v>0</v>
      </c>
      <c r="H835" s="1">
        <v>56.6</v>
      </c>
      <c r="I835" s="1">
        <v>23.16</v>
      </c>
      <c r="J835" s="1">
        <v>0</v>
      </c>
      <c r="K835" s="1">
        <f t="shared" si="13"/>
        <v>79.760000000000005</v>
      </c>
      <c r="L835" s="1" t="str">
        <f>_xlfn.XLOOKUP(A835,satellite_programs!A:A,satellite_programs!N:N)</f>
        <v>Operations</v>
      </c>
    </row>
    <row r="836" spans="1:12" x14ac:dyDescent="0.5">
      <c r="A836" s="1" t="s">
        <v>54</v>
      </c>
      <c r="B836" s="1" t="s">
        <v>50</v>
      </c>
      <c r="C836" s="1" t="s">
        <v>23</v>
      </c>
      <c r="D836" s="1">
        <v>2030</v>
      </c>
      <c r="E836" s="1" t="s">
        <v>28</v>
      </c>
      <c r="F836" s="1">
        <v>0</v>
      </c>
      <c r="G836" s="1">
        <v>0</v>
      </c>
      <c r="H836" s="1">
        <v>56.6</v>
      </c>
      <c r="I836" s="1">
        <v>23.71</v>
      </c>
      <c r="J836" s="1">
        <v>0</v>
      </c>
      <c r="K836" s="1">
        <f t="shared" si="13"/>
        <v>80.31</v>
      </c>
      <c r="L836" s="1" t="str">
        <f>_xlfn.XLOOKUP(A836,satellite_programs!A:A,satellite_programs!N:N)</f>
        <v>Operations</v>
      </c>
    </row>
    <row r="837" spans="1:12" x14ac:dyDescent="0.5">
      <c r="A837" s="1" t="s">
        <v>54</v>
      </c>
      <c r="B837" s="1" t="s">
        <v>50</v>
      </c>
      <c r="C837" s="1" t="s">
        <v>23</v>
      </c>
      <c r="D837" s="1">
        <v>2031</v>
      </c>
      <c r="E837" s="1" t="s">
        <v>28</v>
      </c>
      <c r="F837" s="1">
        <v>0</v>
      </c>
      <c r="G837" s="1">
        <v>0</v>
      </c>
      <c r="H837" s="1">
        <v>56.6</v>
      </c>
      <c r="I837" s="1">
        <v>24.26</v>
      </c>
      <c r="J837" s="1">
        <v>0</v>
      </c>
      <c r="K837" s="1">
        <f t="shared" si="13"/>
        <v>80.86</v>
      </c>
      <c r="L837" s="1" t="str">
        <f>_xlfn.XLOOKUP(A837,satellite_programs!A:A,satellite_programs!N:N)</f>
        <v>Operations</v>
      </c>
    </row>
    <row r="838" spans="1:12" x14ac:dyDescent="0.5">
      <c r="A838" s="1" t="s">
        <v>54</v>
      </c>
      <c r="B838" s="1" t="s">
        <v>50</v>
      </c>
      <c r="C838" s="1" t="s">
        <v>23</v>
      </c>
      <c r="D838" s="1">
        <v>2032</v>
      </c>
      <c r="E838" s="1" t="s">
        <v>28</v>
      </c>
      <c r="F838" s="1">
        <v>0</v>
      </c>
      <c r="G838" s="1">
        <v>0</v>
      </c>
      <c r="H838" s="1">
        <v>56.6</v>
      </c>
      <c r="I838" s="1">
        <v>24.81</v>
      </c>
      <c r="J838" s="1">
        <v>0</v>
      </c>
      <c r="K838" s="1">
        <f t="shared" si="13"/>
        <v>81.41</v>
      </c>
      <c r="L838" s="1" t="str">
        <f>_xlfn.XLOOKUP(A838,satellite_programs!A:A,satellite_programs!N:N)</f>
        <v>Operations</v>
      </c>
    </row>
    <row r="839" spans="1:12" x14ac:dyDescent="0.5">
      <c r="A839" s="1" t="s">
        <v>54</v>
      </c>
      <c r="B839" s="1" t="s">
        <v>50</v>
      </c>
      <c r="C839" s="1" t="s">
        <v>23</v>
      </c>
      <c r="D839" s="1">
        <v>2033</v>
      </c>
      <c r="E839" s="1" t="s">
        <v>28</v>
      </c>
      <c r="F839" s="1">
        <v>0</v>
      </c>
      <c r="G839" s="1">
        <v>0</v>
      </c>
      <c r="H839" s="1">
        <v>56.6</v>
      </c>
      <c r="I839" s="1">
        <v>25.35</v>
      </c>
      <c r="J839" s="1">
        <v>0</v>
      </c>
      <c r="K839" s="1">
        <f t="shared" si="13"/>
        <v>81.95</v>
      </c>
      <c r="L839" s="1" t="str">
        <f>_xlfn.XLOOKUP(A839,satellite_programs!A:A,satellite_programs!N:N)</f>
        <v>Operations</v>
      </c>
    </row>
    <row r="840" spans="1:12" x14ac:dyDescent="0.5">
      <c r="A840" s="1" t="s">
        <v>54</v>
      </c>
      <c r="B840" s="1" t="s">
        <v>50</v>
      </c>
      <c r="C840" s="1" t="s">
        <v>23</v>
      </c>
      <c r="D840" s="1">
        <v>2034</v>
      </c>
      <c r="E840" s="1" t="s">
        <v>28</v>
      </c>
      <c r="F840" s="1">
        <v>0</v>
      </c>
      <c r="G840" s="1">
        <v>0</v>
      </c>
      <c r="H840" s="1">
        <v>56.6</v>
      </c>
      <c r="I840" s="1">
        <v>25.9</v>
      </c>
      <c r="J840" s="1">
        <v>0</v>
      </c>
      <c r="K840" s="1">
        <f t="shared" si="13"/>
        <v>82.5</v>
      </c>
      <c r="L840" s="1" t="str">
        <f>_xlfn.XLOOKUP(A840,satellite_programs!A:A,satellite_programs!N:N)</f>
        <v>Operations</v>
      </c>
    </row>
    <row r="841" spans="1:12" x14ac:dyDescent="0.5">
      <c r="A841" s="1" t="s">
        <v>54</v>
      </c>
      <c r="B841" s="1" t="s">
        <v>50</v>
      </c>
      <c r="C841" s="1" t="s">
        <v>23</v>
      </c>
      <c r="D841" s="1">
        <v>2036</v>
      </c>
      <c r="E841" s="1" t="s">
        <v>103</v>
      </c>
      <c r="F841" s="1">
        <v>0</v>
      </c>
      <c r="G841" s="1">
        <v>0</v>
      </c>
      <c r="H841" s="1">
        <v>0</v>
      </c>
      <c r="I841" s="1">
        <v>0</v>
      </c>
      <c r="J841" s="1">
        <v>22.4</v>
      </c>
      <c r="K841" s="1">
        <f t="shared" si="13"/>
        <v>22.4</v>
      </c>
      <c r="L841" s="1" t="str">
        <f>_xlfn.XLOOKUP(A841,satellite_programs!A:A,satellite_programs!N:N)</f>
        <v>Operations</v>
      </c>
    </row>
  </sheetData>
  <autoFilter ref="A1:K841" xr:uid="{77EDD9A9-9BE1-4444-AD4A-430B9178A03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8121-2CB3-4EDD-A31C-E153633CF2CA}">
  <dimension ref="A1:X51"/>
  <sheetViews>
    <sheetView workbookViewId="0">
      <pane ySplit="1" topLeftCell="A8" activePane="bottomLeft" state="frozen"/>
      <selection pane="bottomLeft" activeCell="O2" sqref="O2"/>
    </sheetView>
  </sheetViews>
  <sheetFormatPr defaultRowHeight="14.35" x14ac:dyDescent="0.5"/>
  <cols>
    <col min="1" max="1" width="13.41015625" style="1" customWidth="1"/>
    <col min="2" max="2" width="17.52734375" style="1" bestFit="1" customWidth="1"/>
    <col min="3" max="3" width="12.3515625" style="1" bestFit="1" customWidth="1"/>
    <col min="4" max="4" width="11.29296875" style="1" bestFit="1" customWidth="1"/>
    <col min="5" max="5" width="11.46875" style="1" bestFit="1" customWidth="1"/>
    <col min="6" max="6" width="12.87890625" style="1" bestFit="1" customWidth="1"/>
    <col min="7" max="7" width="15.29296875" style="1" bestFit="1" customWidth="1"/>
    <col min="8" max="8" width="13.9375" style="1" bestFit="1" customWidth="1"/>
    <col min="9" max="9" width="17" style="1" bestFit="1" customWidth="1"/>
    <col min="10" max="10" width="23.64453125" style="1" bestFit="1" customWidth="1"/>
    <col min="11" max="11" width="20.46875" style="1" bestFit="1" customWidth="1"/>
    <col min="12" max="12" width="10.76171875" style="1" bestFit="1" customWidth="1"/>
    <col min="13" max="13" width="13.9375" style="1" bestFit="1" customWidth="1"/>
    <col min="14" max="14" width="13.8203125" style="1" bestFit="1" customWidth="1"/>
    <col min="15" max="15" width="27.46875" style="1" bestFit="1" customWidth="1"/>
    <col min="16" max="16" width="25.87890625" style="1" bestFit="1" customWidth="1"/>
    <col min="17" max="17" width="26.52734375" style="1" bestFit="1" customWidth="1"/>
    <col min="18" max="18" width="24.41015625" style="1" bestFit="1" customWidth="1"/>
    <col min="19" max="19" width="32.3515625" style="1" bestFit="1" customWidth="1"/>
    <col min="20" max="20" width="24" style="1" bestFit="1" customWidth="1"/>
    <col min="21" max="21" width="19.234375" style="1" customWidth="1"/>
    <col min="22" max="22" width="14.17578125" bestFit="1" customWidth="1"/>
    <col min="23" max="23" width="14.87890625" bestFit="1" customWidth="1"/>
    <col min="24" max="24" width="17.41015625" bestFit="1" customWidth="1"/>
  </cols>
  <sheetData>
    <row r="1" spans="1:24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130</v>
      </c>
      <c r="W1" s="1" t="s">
        <v>134</v>
      </c>
      <c r="X1" s="1" t="s">
        <v>136</v>
      </c>
    </row>
    <row r="2" spans="1:24" x14ac:dyDescent="0.5">
      <c r="A2" s="1" t="s">
        <v>21</v>
      </c>
      <c r="B2" s="1" t="s">
        <v>22</v>
      </c>
      <c r="C2" s="1" t="s">
        <v>23</v>
      </c>
      <c r="D2" s="1">
        <v>1850</v>
      </c>
      <c r="E2" s="1">
        <v>8200</v>
      </c>
      <c r="F2" s="1">
        <v>15</v>
      </c>
      <c r="G2" s="1">
        <v>3</v>
      </c>
      <c r="H2" s="1">
        <v>420</v>
      </c>
      <c r="I2" s="1" t="s">
        <v>24</v>
      </c>
      <c r="J2" s="1">
        <v>9</v>
      </c>
      <c r="K2" s="1">
        <v>1998</v>
      </c>
      <c r="L2" s="1">
        <v>2005</v>
      </c>
      <c r="M2" s="1">
        <v>2020</v>
      </c>
      <c r="N2" s="1" t="s">
        <v>25</v>
      </c>
      <c r="O2" s="1">
        <v>277.93</v>
      </c>
      <c r="P2" s="1">
        <v>111.17</v>
      </c>
      <c r="Q2" s="1">
        <v>40.799999999999997</v>
      </c>
      <c r="R2" s="1">
        <v>612</v>
      </c>
      <c r="S2" s="1">
        <v>309.27</v>
      </c>
      <c r="T2" s="1">
        <v>21.7</v>
      </c>
      <c r="U2" s="1">
        <v>1332.07</v>
      </c>
      <c r="V2" t="b">
        <f>O2=SUMIF(satellite_components!A:A,satellite_programs!A2,satellite_components!H:H)</f>
        <v>1</v>
      </c>
      <c r="W2" t="b">
        <f>P2=SUMIF(satellite_components!A:A,satellite_programs!A2,satellite_components!I:I)</f>
        <v>1</v>
      </c>
      <c r="X2" t="b">
        <f>U2=SUMIF(satellite_costs_by_year!A:A,satellite_programs!A2,satellite_costs_by_year!K:K)</f>
        <v>1</v>
      </c>
    </row>
    <row r="3" spans="1:24" x14ac:dyDescent="0.5">
      <c r="A3" s="1" t="s">
        <v>26</v>
      </c>
      <c r="B3" s="1" t="s">
        <v>22</v>
      </c>
      <c r="C3" s="1" t="s">
        <v>23</v>
      </c>
      <c r="D3" s="1">
        <v>2100</v>
      </c>
      <c r="E3" s="1">
        <v>9800</v>
      </c>
      <c r="F3" s="1">
        <v>15</v>
      </c>
      <c r="G3" s="1">
        <v>4</v>
      </c>
      <c r="H3" s="1">
        <v>510</v>
      </c>
      <c r="I3" s="1" t="s">
        <v>24</v>
      </c>
      <c r="J3" s="1">
        <v>9</v>
      </c>
      <c r="K3" s="1">
        <v>2001</v>
      </c>
      <c r="L3" s="1">
        <v>2008</v>
      </c>
      <c r="M3" s="1">
        <v>2023</v>
      </c>
      <c r="N3" s="1" t="s">
        <v>25</v>
      </c>
      <c r="O3" s="1">
        <v>312.76</v>
      </c>
      <c r="P3" s="1">
        <v>125.1</v>
      </c>
      <c r="Q3" s="1">
        <v>43.6</v>
      </c>
      <c r="R3" s="1">
        <v>654</v>
      </c>
      <c r="S3" s="1">
        <v>328.88</v>
      </c>
      <c r="T3" s="1">
        <v>22.2</v>
      </c>
      <c r="U3" s="1">
        <v>1442.94</v>
      </c>
      <c r="V3" t="b">
        <f>O3=SUMIF(satellite_components!A:A,satellite_programs!A3,satellite_components!H:H)</f>
        <v>1</v>
      </c>
      <c r="W3" t="b">
        <f>P3=SUMIF(satellite_components!A:A,satellite_programs!A3,satellite_components!I:I)</f>
        <v>1</v>
      </c>
      <c r="X3" t="b">
        <f>U3=SUMIF(satellite_costs_by_year!A:A,satellite_programs!A3,satellite_costs_by_year!K:K)</f>
        <v>1</v>
      </c>
    </row>
    <row r="4" spans="1:24" x14ac:dyDescent="0.5">
      <c r="A4" s="1" t="s">
        <v>27</v>
      </c>
      <c r="B4" s="1" t="s">
        <v>22</v>
      </c>
      <c r="C4" s="1" t="s">
        <v>23</v>
      </c>
      <c r="D4" s="1">
        <v>2450</v>
      </c>
      <c r="E4" s="1">
        <v>11200</v>
      </c>
      <c r="F4" s="1">
        <v>17</v>
      </c>
      <c r="G4" s="1">
        <v>4</v>
      </c>
      <c r="H4" s="1">
        <v>580</v>
      </c>
      <c r="I4" s="1" t="s">
        <v>24</v>
      </c>
      <c r="J4" s="1">
        <v>9</v>
      </c>
      <c r="K4" s="1">
        <v>2004</v>
      </c>
      <c r="L4" s="1">
        <v>2011</v>
      </c>
      <c r="M4" s="1">
        <v>2028</v>
      </c>
      <c r="N4" s="1" t="s">
        <v>28</v>
      </c>
      <c r="O4" s="1">
        <v>368.66</v>
      </c>
      <c r="P4" s="1">
        <v>147.46</v>
      </c>
      <c r="Q4" s="1">
        <v>45</v>
      </c>
      <c r="R4" s="1">
        <v>765</v>
      </c>
      <c r="S4" s="1">
        <v>399.68</v>
      </c>
      <c r="T4" s="1">
        <v>22.9</v>
      </c>
      <c r="U4" s="1">
        <v>1703.7</v>
      </c>
      <c r="V4" t="b">
        <f>O4=SUMIF(satellite_components!A:A,satellite_programs!A4,satellite_components!H:H)</f>
        <v>1</v>
      </c>
      <c r="W4" t="b">
        <f>P4=SUMIF(satellite_components!A:A,satellite_programs!A4,satellite_components!I:I)</f>
        <v>1</v>
      </c>
      <c r="X4" t="b">
        <f>U4=SUMIF(satellite_costs_by_year!A:A,satellite_programs!A4,satellite_costs_by_year!K:K)</f>
        <v>1</v>
      </c>
    </row>
    <row r="5" spans="1:24" x14ac:dyDescent="0.5">
      <c r="A5" s="1" t="s">
        <v>29</v>
      </c>
      <c r="B5" s="1" t="s">
        <v>22</v>
      </c>
      <c r="C5" s="1" t="s">
        <v>23</v>
      </c>
      <c r="D5" s="1">
        <v>2780</v>
      </c>
      <c r="E5" s="1">
        <v>13500</v>
      </c>
      <c r="F5" s="1">
        <v>18</v>
      </c>
      <c r="G5" s="1">
        <v>5</v>
      </c>
      <c r="H5" s="1">
        <v>640</v>
      </c>
      <c r="I5" s="1" t="s">
        <v>24</v>
      </c>
      <c r="J5" s="1">
        <v>9</v>
      </c>
      <c r="K5" s="1">
        <v>2007</v>
      </c>
      <c r="L5" s="1">
        <v>2014</v>
      </c>
      <c r="M5" s="1">
        <v>2032</v>
      </c>
      <c r="N5" s="1" t="s">
        <v>28</v>
      </c>
      <c r="O5" s="1">
        <v>422.64</v>
      </c>
      <c r="P5" s="1">
        <v>169.06</v>
      </c>
      <c r="Q5" s="1">
        <v>48.12</v>
      </c>
      <c r="R5" s="1">
        <v>866.16</v>
      </c>
      <c r="S5" s="1">
        <v>444.56</v>
      </c>
      <c r="T5" s="1">
        <v>23.56</v>
      </c>
      <c r="U5" s="1">
        <v>1925.98</v>
      </c>
      <c r="V5" t="b">
        <f>O5=SUMIF(satellite_components!A:A,satellite_programs!A5,satellite_components!H:H)</f>
        <v>1</v>
      </c>
      <c r="W5" t="b">
        <f>P5=SUMIF(satellite_components!A:A,satellite_programs!A5,satellite_components!I:I)</f>
        <v>1</v>
      </c>
      <c r="X5" t="b">
        <f>U5=SUMIF(satellite_costs_by_year!A:A,satellite_programs!A5,satellite_costs_by_year!K:K)</f>
        <v>1</v>
      </c>
    </row>
    <row r="6" spans="1:24" x14ac:dyDescent="0.5">
      <c r="A6" s="1" t="s">
        <v>30</v>
      </c>
      <c r="B6" s="1" t="s">
        <v>22</v>
      </c>
      <c r="C6" s="1" t="s">
        <v>23</v>
      </c>
      <c r="D6" s="1">
        <v>3100</v>
      </c>
      <c r="E6" s="1">
        <v>15000</v>
      </c>
      <c r="F6" s="1">
        <v>18</v>
      </c>
      <c r="G6" s="1">
        <v>5</v>
      </c>
      <c r="H6" s="1">
        <v>700</v>
      </c>
      <c r="I6" s="1" t="s">
        <v>24</v>
      </c>
      <c r="J6" s="1">
        <v>9</v>
      </c>
      <c r="K6" s="1">
        <v>2010</v>
      </c>
      <c r="L6" s="1">
        <v>2017</v>
      </c>
      <c r="M6" s="1">
        <v>2035</v>
      </c>
      <c r="N6" s="1" t="s">
        <v>28</v>
      </c>
      <c r="O6" s="1">
        <v>463.32</v>
      </c>
      <c r="P6" s="1">
        <v>185.33</v>
      </c>
      <c r="Q6" s="1">
        <v>49.4</v>
      </c>
      <c r="R6" s="1">
        <v>889.2</v>
      </c>
      <c r="S6" s="1">
        <v>460.83</v>
      </c>
      <c r="T6" s="1">
        <v>24.2</v>
      </c>
      <c r="U6" s="1">
        <v>2022.88</v>
      </c>
      <c r="V6" t="b">
        <f>O6=SUMIF(satellite_components!A:A,satellite_programs!A6,satellite_components!H:H)</f>
        <v>1</v>
      </c>
      <c r="W6" t="b">
        <f>P6=SUMIF(satellite_components!A:A,satellite_programs!A6,satellite_components!I:I)</f>
        <v>1</v>
      </c>
      <c r="X6" t="b">
        <f>U6=SUMIF(satellite_costs_by_year!A:A,satellite_programs!A6,satellite_costs_by_year!K:K)</f>
        <v>1</v>
      </c>
    </row>
    <row r="7" spans="1:24" x14ac:dyDescent="0.5">
      <c r="A7" s="1" t="s">
        <v>31</v>
      </c>
      <c r="B7" s="1" t="s">
        <v>32</v>
      </c>
      <c r="C7" s="1" t="s">
        <v>33</v>
      </c>
      <c r="D7" s="1">
        <v>680</v>
      </c>
      <c r="E7" s="1">
        <v>1100</v>
      </c>
      <c r="F7" s="1">
        <v>7</v>
      </c>
      <c r="G7" s="1">
        <v>5</v>
      </c>
      <c r="H7" s="1">
        <v>310</v>
      </c>
      <c r="I7" s="1" t="s">
        <v>34</v>
      </c>
      <c r="J7" s="1">
        <v>8</v>
      </c>
      <c r="K7" s="1">
        <v>1997</v>
      </c>
      <c r="L7" s="1">
        <v>2003</v>
      </c>
      <c r="M7" s="1">
        <v>2010</v>
      </c>
      <c r="N7" s="1" t="s">
        <v>25</v>
      </c>
      <c r="O7" s="1">
        <v>95.82</v>
      </c>
      <c r="P7" s="1">
        <v>38.33</v>
      </c>
      <c r="Q7" s="1">
        <v>29.72</v>
      </c>
      <c r="R7" s="1">
        <v>208.04</v>
      </c>
      <c r="S7" s="1">
        <v>142.83000000000001</v>
      </c>
      <c r="T7" s="1">
        <v>9.36</v>
      </c>
      <c r="U7" s="1">
        <v>494.38</v>
      </c>
      <c r="V7" t="b">
        <f>O7=SUMIF(satellite_components!A:A,satellite_programs!A7,satellite_components!H:H)</f>
        <v>1</v>
      </c>
      <c r="W7" t="b">
        <f>P7=SUMIF(satellite_components!A:A,satellite_programs!A7,satellite_components!I:I)</f>
        <v>1</v>
      </c>
      <c r="X7" t="b">
        <f>U7=SUMIF(satellite_costs_by_year!A:A,satellite_programs!A7,satellite_costs_by_year!K:K)</f>
        <v>1</v>
      </c>
    </row>
    <row r="8" spans="1:24" x14ac:dyDescent="0.5">
      <c r="A8" s="1" t="s">
        <v>35</v>
      </c>
      <c r="B8" s="1" t="s">
        <v>32</v>
      </c>
      <c r="C8" s="1" t="s">
        <v>33</v>
      </c>
      <c r="D8" s="1">
        <v>720</v>
      </c>
      <c r="E8" s="1">
        <v>1250</v>
      </c>
      <c r="F8" s="1">
        <v>7</v>
      </c>
      <c r="G8" s="1">
        <v>6</v>
      </c>
      <c r="H8" s="1">
        <v>340</v>
      </c>
      <c r="I8" s="1" t="s">
        <v>34</v>
      </c>
      <c r="J8" s="1">
        <v>8</v>
      </c>
      <c r="K8" s="1">
        <v>1999</v>
      </c>
      <c r="L8" s="1">
        <v>2005</v>
      </c>
      <c r="M8" s="1">
        <v>2012</v>
      </c>
      <c r="N8" s="1" t="s">
        <v>25</v>
      </c>
      <c r="O8" s="1">
        <v>102.02</v>
      </c>
      <c r="P8" s="1">
        <v>40.81</v>
      </c>
      <c r="Q8" s="1">
        <v>31.68</v>
      </c>
      <c r="R8" s="1">
        <v>221.76</v>
      </c>
      <c r="S8" s="1">
        <v>145.57</v>
      </c>
      <c r="T8" s="1">
        <v>9.44</v>
      </c>
      <c r="U8" s="1">
        <v>519.6</v>
      </c>
      <c r="V8" t="b">
        <f>O8=SUMIF(satellite_components!A:A,satellite_programs!A8,satellite_components!H:H)</f>
        <v>1</v>
      </c>
      <c r="W8" t="b">
        <f>P8=SUMIF(satellite_components!A:A,satellite_programs!A8,satellite_components!I:I)</f>
        <v>1</v>
      </c>
      <c r="X8" t="b">
        <f>U8=SUMIF(satellite_costs_by_year!A:A,satellite_programs!A8,satellite_costs_by_year!K:K)</f>
        <v>1</v>
      </c>
    </row>
    <row r="9" spans="1:24" x14ac:dyDescent="0.5">
      <c r="A9" s="1" t="s">
        <v>36</v>
      </c>
      <c r="B9" s="1" t="s">
        <v>32</v>
      </c>
      <c r="C9" s="1" t="s">
        <v>33</v>
      </c>
      <c r="D9" s="1">
        <v>810</v>
      </c>
      <c r="E9" s="1">
        <v>1400</v>
      </c>
      <c r="F9" s="1">
        <v>8</v>
      </c>
      <c r="G9" s="1">
        <v>6</v>
      </c>
      <c r="H9" s="1">
        <v>390</v>
      </c>
      <c r="I9" s="1" t="s">
        <v>34</v>
      </c>
      <c r="J9" s="1">
        <v>8</v>
      </c>
      <c r="K9" s="1">
        <v>2002</v>
      </c>
      <c r="L9" s="1">
        <v>2008</v>
      </c>
      <c r="M9" s="1">
        <v>2016</v>
      </c>
      <c r="N9" s="1" t="s">
        <v>25</v>
      </c>
      <c r="O9" s="1">
        <v>117.27</v>
      </c>
      <c r="P9" s="1">
        <v>46.91</v>
      </c>
      <c r="Q9" s="1">
        <v>32.04</v>
      </c>
      <c r="R9" s="1">
        <v>256.32</v>
      </c>
      <c r="S9" s="1">
        <v>173.96</v>
      </c>
      <c r="T9" s="1">
        <v>9.6199999999999992</v>
      </c>
      <c r="U9" s="1">
        <v>604.08000000000004</v>
      </c>
      <c r="V9" t="b">
        <f>O9=SUMIF(satellite_components!A:A,satellite_programs!A9,satellite_components!H:H)</f>
        <v>1</v>
      </c>
      <c r="W9" t="b">
        <f>P9=SUMIF(satellite_components!A:A,satellite_programs!A9,satellite_components!I:I)</f>
        <v>1</v>
      </c>
      <c r="X9" t="b">
        <f>U9=SUMIF(satellite_costs_by_year!A:A,satellite_programs!A9,satellite_costs_by_year!K:K)</f>
        <v>1</v>
      </c>
    </row>
    <row r="10" spans="1:24" x14ac:dyDescent="0.5">
      <c r="A10" s="1" t="s">
        <v>37</v>
      </c>
      <c r="B10" s="1" t="s">
        <v>32</v>
      </c>
      <c r="C10" s="1" t="s">
        <v>33</v>
      </c>
      <c r="D10" s="1">
        <v>950</v>
      </c>
      <c r="E10" s="1">
        <v>1650</v>
      </c>
      <c r="F10" s="1">
        <v>8</v>
      </c>
      <c r="G10" s="1">
        <v>7</v>
      </c>
      <c r="H10" s="1">
        <v>450</v>
      </c>
      <c r="I10" s="1" t="s">
        <v>34</v>
      </c>
      <c r="J10" s="1">
        <v>9</v>
      </c>
      <c r="K10" s="1">
        <v>2005</v>
      </c>
      <c r="L10" s="1">
        <v>2011</v>
      </c>
      <c r="M10" s="1">
        <v>2019</v>
      </c>
      <c r="N10" s="1" t="s">
        <v>25</v>
      </c>
      <c r="O10" s="1">
        <v>127.41</v>
      </c>
      <c r="P10" s="1">
        <v>50.96</v>
      </c>
      <c r="Q10" s="1">
        <v>34.4</v>
      </c>
      <c r="R10" s="1">
        <v>275.2</v>
      </c>
      <c r="S10" s="1">
        <v>180.33</v>
      </c>
      <c r="T10" s="1">
        <v>9.9</v>
      </c>
      <c r="U10" s="1">
        <v>643.79999999999995</v>
      </c>
      <c r="V10" t="b">
        <f>O10=SUMIF(satellite_components!A:A,satellite_programs!A10,satellite_components!H:H)</f>
        <v>1</v>
      </c>
      <c r="W10" t="b">
        <f>P10=SUMIF(satellite_components!A:A,satellite_programs!A10,satellite_components!I:I)</f>
        <v>1</v>
      </c>
      <c r="X10" t="b">
        <f>U10=SUMIF(satellite_costs_by_year!A:A,satellite_programs!A10,satellite_costs_by_year!K:K)</f>
        <v>1</v>
      </c>
    </row>
    <row r="11" spans="1:24" x14ac:dyDescent="0.5">
      <c r="A11" s="1" t="s">
        <v>38</v>
      </c>
      <c r="B11" s="1" t="s">
        <v>32</v>
      </c>
      <c r="C11" s="1" t="s">
        <v>33</v>
      </c>
      <c r="D11" s="1">
        <v>1050</v>
      </c>
      <c r="E11" s="1">
        <v>1900</v>
      </c>
      <c r="F11" s="1">
        <v>10</v>
      </c>
      <c r="G11" s="1">
        <v>7</v>
      </c>
      <c r="H11" s="1">
        <v>480</v>
      </c>
      <c r="I11" s="1" t="s">
        <v>34</v>
      </c>
      <c r="J11" s="1">
        <v>9</v>
      </c>
      <c r="K11" s="1">
        <v>2008</v>
      </c>
      <c r="L11" s="1">
        <v>2014</v>
      </c>
      <c r="M11" s="1">
        <v>2024</v>
      </c>
      <c r="N11" s="1" t="s">
        <v>25</v>
      </c>
      <c r="O11" s="1">
        <v>149.55000000000001</v>
      </c>
      <c r="P11" s="1">
        <v>59.82</v>
      </c>
      <c r="Q11" s="1">
        <v>34.799999999999997</v>
      </c>
      <c r="R11" s="1">
        <v>348</v>
      </c>
      <c r="S11" s="1">
        <v>235.63</v>
      </c>
      <c r="T11" s="1">
        <v>10.1</v>
      </c>
      <c r="U11" s="1">
        <v>803.1</v>
      </c>
      <c r="V11" t="b">
        <f>O11=SUMIF(satellite_components!A:A,satellite_programs!A11,satellite_components!H:H)</f>
        <v>1</v>
      </c>
      <c r="W11" t="b">
        <f>P11=SUMIF(satellite_components!A:A,satellite_programs!A11,satellite_components!I:I)</f>
        <v>1</v>
      </c>
      <c r="X11" t="b">
        <f>U11=SUMIF(satellite_costs_by_year!A:A,satellite_programs!A11,satellite_costs_by_year!K:K)</f>
        <v>1</v>
      </c>
    </row>
    <row r="12" spans="1:24" x14ac:dyDescent="0.5">
      <c r="A12" s="1" t="s">
        <v>39</v>
      </c>
      <c r="B12" s="1" t="s">
        <v>32</v>
      </c>
      <c r="C12" s="1" t="s">
        <v>33</v>
      </c>
      <c r="D12" s="1">
        <v>1200</v>
      </c>
      <c r="E12" s="1">
        <v>2100</v>
      </c>
      <c r="F12" s="1">
        <v>10</v>
      </c>
      <c r="G12" s="1">
        <v>8</v>
      </c>
      <c r="H12" s="1">
        <v>520</v>
      </c>
      <c r="I12" s="1" t="s">
        <v>34</v>
      </c>
      <c r="J12" s="1">
        <v>9</v>
      </c>
      <c r="K12" s="1">
        <v>2011</v>
      </c>
      <c r="L12" s="1">
        <v>2018</v>
      </c>
      <c r="M12" s="1">
        <v>2028</v>
      </c>
      <c r="N12" s="1" t="s">
        <v>28</v>
      </c>
      <c r="O12" s="1">
        <v>166.41</v>
      </c>
      <c r="P12" s="1">
        <v>66.56</v>
      </c>
      <c r="Q12" s="1">
        <v>37.200000000000003</v>
      </c>
      <c r="R12" s="1">
        <v>372</v>
      </c>
      <c r="S12" s="1">
        <v>241.07</v>
      </c>
      <c r="T12" s="1">
        <v>10.4</v>
      </c>
      <c r="U12" s="1">
        <v>856.44</v>
      </c>
      <c r="V12" t="b">
        <f>O12=SUMIF(satellite_components!A:A,satellite_programs!A12,satellite_components!H:H)</f>
        <v>1</v>
      </c>
      <c r="W12" t="b">
        <f>P12=SUMIF(satellite_components!A:A,satellite_programs!A12,satellite_components!I:I)</f>
        <v>1</v>
      </c>
      <c r="X12" t="b">
        <f>U12=SUMIF(satellite_costs_by_year!A:A,satellite_programs!A12,satellite_costs_by_year!K:K)</f>
        <v>1</v>
      </c>
    </row>
    <row r="13" spans="1:24" x14ac:dyDescent="0.5">
      <c r="A13" s="1" t="s">
        <v>40</v>
      </c>
      <c r="B13" s="1" t="s">
        <v>32</v>
      </c>
      <c r="C13" s="1" t="s">
        <v>33</v>
      </c>
      <c r="D13" s="1">
        <v>1380</v>
      </c>
      <c r="E13" s="1">
        <v>2400</v>
      </c>
      <c r="F13" s="1">
        <v>12</v>
      </c>
      <c r="G13" s="1">
        <v>8</v>
      </c>
      <c r="H13" s="1">
        <v>560</v>
      </c>
      <c r="I13" s="1" t="s">
        <v>24</v>
      </c>
      <c r="J13" s="1">
        <v>9</v>
      </c>
      <c r="K13" s="1">
        <v>2014</v>
      </c>
      <c r="L13" s="1">
        <v>2021</v>
      </c>
      <c r="M13" s="1">
        <v>2033</v>
      </c>
      <c r="N13" s="1" t="s">
        <v>28</v>
      </c>
      <c r="O13" s="1">
        <v>168.04</v>
      </c>
      <c r="P13" s="1">
        <v>67.22</v>
      </c>
      <c r="Q13" s="1">
        <v>37.92</v>
      </c>
      <c r="R13" s="1">
        <v>455.04</v>
      </c>
      <c r="S13" s="1">
        <v>303.64</v>
      </c>
      <c r="T13" s="1">
        <v>10.76</v>
      </c>
      <c r="U13" s="1">
        <v>1004.7</v>
      </c>
      <c r="V13" t="b">
        <f>O13=SUMIF(satellite_components!A:A,satellite_programs!A13,satellite_components!H:H)</f>
        <v>1</v>
      </c>
      <c r="W13" t="b">
        <f>P13=SUMIF(satellite_components!A:A,satellite_programs!A13,satellite_components!I:I)</f>
        <v>1</v>
      </c>
      <c r="X13" t="b">
        <f>U13=SUMIF(satellite_costs_by_year!A:A,satellite_programs!A13,satellite_costs_by_year!K:K)</f>
        <v>1</v>
      </c>
    </row>
    <row r="14" spans="1:24" x14ac:dyDescent="0.5">
      <c r="A14" s="1" t="s">
        <v>41</v>
      </c>
      <c r="B14" s="1" t="s">
        <v>32</v>
      </c>
      <c r="C14" s="1" t="s">
        <v>33</v>
      </c>
      <c r="D14" s="1">
        <v>1520</v>
      </c>
      <c r="E14" s="1">
        <v>2700</v>
      </c>
      <c r="F14" s="1">
        <v>12</v>
      </c>
      <c r="G14" s="1">
        <v>9</v>
      </c>
      <c r="H14" s="1">
        <v>600</v>
      </c>
      <c r="I14" s="1" t="s">
        <v>24</v>
      </c>
      <c r="J14" s="1">
        <v>9</v>
      </c>
      <c r="K14" s="1">
        <v>2017</v>
      </c>
      <c r="L14" s="1">
        <v>2024</v>
      </c>
      <c r="M14" s="1">
        <v>2036</v>
      </c>
      <c r="N14" s="1" t="s">
        <v>28</v>
      </c>
      <c r="O14" s="1">
        <v>183.2</v>
      </c>
      <c r="P14" s="1">
        <v>73.28</v>
      </c>
      <c r="Q14" s="1">
        <v>40.28</v>
      </c>
      <c r="R14" s="1">
        <v>483.36</v>
      </c>
      <c r="S14" s="1">
        <v>310.36</v>
      </c>
      <c r="T14" s="1">
        <v>11.04</v>
      </c>
      <c r="U14" s="1">
        <v>1061.24</v>
      </c>
      <c r="V14" t="b">
        <f>O14=SUMIF(satellite_components!A:A,satellite_programs!A14,satellite_components!H:H)</f>
        <v>1</v>
      </c>
      <c r="W14" t="b">
        <f>P14=SUMIF(satellite_components!A:A,satellite_programs!A14,satellite_components!I:I)</f>
        <v>1</v>
      </c>
      <c r="X14" t="b">
        <f>U14=SUMIF(satellite_costs_by_year!A:A,satellite_programs!A14,satellite_costs_by_year!K:K)</f>
        <v>1</v>
      </c>
    </row>
    <row r="15" spans="1:24" x14ac:dyDescent="0.5">
      <c r="A15" s="1" t="s">
        <v>42</v>
      </c>
      <c r="B15" s="1" t="s">
        <v>43</v>
      </c>
      <c r="C15" s="1" t="s">
        <v>44</v>
      </c>
      <c r="D15" s="1">
        <v>920</v>
      </c>
      <c r="E15" s="1">
        <v>1800</v>
      </c>
      <c r="F15" s="1">
        <v>12</v>
      </c>
      <c r="G15" s="1">
        <v>2</v>
      </c>
      <c r="H15" s="1">
        <v>280</v>
      </c>
      <c r="I15" s="1" t="s">
        <v>24</v>
      </c>
      <c r="J15" s="1">
        <v>9</v>
      </c>
      <c r="K15" s="1">
        <v>1999</v>
      </c>
      <c r="L15" s="1">
        <v>2005</v>
      </c>
      <c r="M15" s="1">
        <v>2017</v>
      </c>
      <c r="N15" s="1" t="s">
        <v>25</v>
      </c>
      <c r="O15" s="1">
        <v>121.89</v>
      </c>
      <c r="P15" s="1">
        <v>48.76</v>
      </c>
      <c r="Q15" s="1">
        <v>29.28</v>
      </c>
      <c r="R15" s="1">
        <v>351.36</v>
      </c>
      <c r="S15" s="1">
        <v>200.75</v>
      </c>
      <c r="T15" s="1">
        <v>13.84</v>
      </c>
      <c r="U15" s="1">
        <v>736.6</v>
      </c>
      <c r="V15" t="b">
        <f>O15=SUMIF(satellite_components!A:A,satellite_programs!A15,satellite_components!H:H)</f>
        <v>1</v>
      </c>
      <c r="W15" t="b">
        <f>P15=SUMIF(satellite_components!A:A,satellite_programs!A15,satellite_components!I:I)</f>
        <v>1</v>
      </c>
      <c r="X15" t="b">
        <f>U15=SUMIF(satellite_costs_by_year!A:A,satellite_programs!A15,satellite_costs_by_year!K:K)</f>
        <v>1</v>
      </c>
    </row>
    <row r="16" spans="1:24" x14ac:dyDescent="0.5">
      <c r="A16" s="1" t="s">
        <v>45</v>
      </c>
      <c r="B16" s="1" t="s">
        <v>43</v>
      </c>
      <c r="C16" s="1" t="s">
        <v>44</v>
      </c>
      <c r="D16" s="1">
        <v>960</v>
      </c>
      <c r="E16" s="1">
        <v>1850</v>
      </c>
      <c r="F16" s="1">
        <v>12</v>
      </c>
      <c r="G16" s="1">
        <v>2</v>
      </c>
      <c r="H16" s="1">
        <v>290</v>
      </c>
      <c r="I16" s="1" t="s">
        <v>24</v>
      </c>
      <c r="J16" s="1">
        <v>9</v>
      </c>
      <c r="K16" s="1">
        <v>2001</v>
      </c>
      <c r="L16" s="1">
        <v>2007</v>
      </c>
      <c r="M16" s="1">
        <v>2019</v>
      </c>
      <c r="N16" s="1" t="s">
        <v>25</v>
      </c>
      <c r="O16" s="1">
        <v>126</v>
      </c>
      <c r="P16" s="1">
        <v>50.4</v>
      </c>
      <c r="Q16" s="1">
        <v>29.44</v>
      </c>
      <c r="R16" s="1">
        <v>353.28</v>
      </c>
      <c r="S16" s="1">
        <v>202.43</v>
      </c>
      <c r="T16" s="1">
        <v>13.92</v>
      </c>
      <c r="U16" s="1">
        <v>746.03</v>
      </c>
      <c r="V16" t="b">
        <f>O16=SUMIF(satellite_components!A:A,satellite_programs!A16,satellite_components!H:H)</f>
        <v>1</v>
      </c>
      <c r="W16" t="b">
        <f>P16=SUMIF(satellite_components!A:A,satellite_programs!A16,satellite_components!I:I)</f>
        <v>1</v>
      </c>
      <c r="X16" t="b">
        <f>U16=SUMIF(satellite_costs_by_year!A:A,satellite_programs!A16,satellite_costs_by_year!K:K)</f>
        <v>1</v>
      </c>
    </row>
    <row r="17" spans="1:24" x14ac:dyDescent="0.5">
      <c r="A17" s="1" t="s">
        <v>46</v>
      </c>
      <c r="B17" s="1" t="s">
        <v>43</v>
      </c>
      <c r="C17" s="1" t="s">
        <v>44</v>
      </c>
      <c r="D17" s="1">
        <v>1020</v>
      </c>
      <c r="E17" s="1">
        <v>1950</v>
      </c>
      <c r="F17" s="1">
        <v>15</v>
      </c>
      <c r="G17" s="1">
        <v>3</v>
      </c>
      <c r="H17" s="1">
        <v>310</v>
      </c>
      <c r="I17" s="1" t="s">
        <v>24</v>
      </c>
      <c r="J17" s="1">
        <v>9</v>
      </c>
      <c r="K17" s="1">
        <v>2003</v>
      </c>
      <c r="L17" s="1">
        <v>2009</v>
      </c>
      <c r="M17" s="1">
        <v>2024</v>
      </c>
      <c r="N17" s="1" t="s">
        <v>25</v>
      </c>
      <c r="O17" s="1">
        <v>141.62</v>
      </c>
      <c r="P17" s="1">
        <v>56.65</v>
      </c>
      <c r="Q17" s="1">
        <v>31.48</v>
      </c>
      <c r="R17" s="1">
        <v>472.2</v>
      </c>
      <c r="S17" s="1">
        <v>267.16000000000003</v>
      </c>
      <c r="T17" s="1">
        <v>14.04</v>
      </c>
      <c r="U17" s="1">
        <v>951.67</v>
      </c>
      <c r="V17" t="b">
        <f>O17=SUMIF(satellite_components!A:A,satellite_programs!A17,satellite_components!H:H)</f>
        <v>1</v>
      </c>
      <c r="W17" t="b">
        <f>P17=SUMIF(satellite_components!A:A,satellite_programs!A17,satellite_components!I:I)</f>
        <v>1</v>
      </c>
      <c r="X17" t="b">
        <f>U17=SUMIF(satellite_costs_by_year!A:A,satellite_programs!A17,satellite_costs_by_year!K:K)</f>
        <v>1</v>
      </c>
    </row>
    <row r="18" spans="1:24" x14ac:dyDescent="0.5">
      <c r="A18" s="1" t="s">
        <v>47</v>
      </c>
      <c r="B18" s="1" t="s">
        <v>43</v>
      </c>
      <c r="C18" s="1" t="s">
        <v>44</v>
      </c>
      <c r="D18" s="1">
        <v>1080</v>
      </c>
      <c r="E18" s="1">
        <v>2050</v>
      </c>
      <c r="F18" s="1">
        <v>15</v>
      </c>
      <c r="G18" s="1">
        <v>3</v>
      </c>
      <c r="H18" s="1">
        <v>320</v>
      </c>
      <c r="I18" s="1" t="s">
        <v>24</v>
      </c>
      <c r="J18" s="1">
        <v>9</v>
      </c>
      <c r="K18" s="1">
        <v>2006</v>
      </c>
      <c r="L18" s="1">
        <v>2012</v>
      </c>
      <c r="M18" s="1">
        <v>2027</v>
      </c>
      <c r="N18" s="1" t="s">
        <v>28</v>
      </c>
      <c r="O18" s="1">
        <v>148.46</v>
      </c>
      <c r="P18" s="1">
        <v>59.38</v>
      </c>
      <c r="Q18" s="1">
        <v>31.72</v>
      </c>
      <c r="R18" s="1">
        <v>475.8</v>
      </c>
      <c r="S18" s="1">
        <v>269.36</v>
      </c>
      <c r="T18" s="1">
        <v>14.16</v>
      </c>
      <c r="U18" s="1">
        <v>967.16</v>
      </c>
      <c r="V18" t="b">
        <f>O18=SUMIF(satellite_components!A:A,satellite_programs!A18,satellite_components!H:H)</f>
        <v>1</v>
      </c>
      <c r="W18" t="b">
        <f>P18=SUMIF(satellite_components!A:A,satellite_programs!A18,satellite_components!I:I)</f>
        <v>1</v>
      </c>
      <c r="X18" t="b">
        <f>U18=SUMIF(satellite_costs_by_year!A:A,satellite_programs!A18,satellite_costs_by_year!K:K)</f>
        <v>1</v>
      </c>
    </row>
    <row r="19" spans="1:24" x14ac:dyDescent="0.5">
      <c r="A19" s="1" t="s">
        <v>48</v>
      </c>
      <c r="B19" s="1" t="s">
        <v>43</v>
      </c>
      <c r="C19" s="1" t="s">
        <v>44</v>
      </c>
      <c r="D19" s="1">
        <v>1150</v>
      </c>
      <c r="E19" s="1">
        <v>2200</v>
      </c>
      <c r="F19" s="1">
        <v>15</v>
      </c>
      <c r="G19" s="1">
        <v>3</v>
      </c>
      <c r="H19" s="1">
        <v>340</v>
      </c>
      <c r="I19" s="1" t="s">
        <v>24</v>
      </c>
      <c r="J19" s="1">
        <v>9</v>
      </c>
      <c r="K19" s="1">
        <v>2009</v>
      </c>
      <c r="L19" s="1">
        <v>2015</v>
      </c>
      <c r="M19" s="1">
        <v>2030</v>
      </c>
      <c r="N19" s="1" t="s">
        <v>28</v>
      </c>
      <c r="O19" s="1">
        <v>156.84</v>
      </c>
      <c r="P19" s="1">
        <v>62.74</v>
      </c>
      <c r="Q19" s="1">
        <v>32</v>
      </c>
      <c r="R19" s="1">
        <v>480</v>
      </c>
      <c r="S19" s="1">
        <v>273.69</v>
      </c>
      <c r="T19" s="1">
        <v>14.3</v>
      </c>
      <c r="U19" s="1">
        <v>987.57</v>
      </c>
      <c r="V19" t="b">
        <f>O19=SUMIF(satellite_components!A:A,satellite_programs!A19,satellite_components!H:H)</f>
        <v>1</v>
      </c>
      <c r="W19" t="b">
        <f>P19=SUMIF(satellite_components!A:A,satellite_programs!A19,satellite_components!I:I)</f>
        <v>1</v>
      </c>
      <c r="X19" t="b">
        <f>U19=SUMIF(satellite_costs_by_year!A:A,satellite_programs!A19,satellite_costs_by_year!K:K)</f>
        <v>1</v>
      </c>
    </row>
    <row r="20" spans="1:24" x14ac:dyDescent="0.5">
      <c r="A20" s="1" t="s">
        <v>49</v>
      </c>
      <c r="B20" s="1" t="s">
        <v>50</v>
      </c>
      <c r="C20" s="1" t="s">
        <v>23</v>
      </c>
      <c r="D20" s="1">
        <v>1620</v>
      </c>
      <c r="E20" s="1">
        <v>3400</v>
      </c>
      <c r="F20" s="1">
        <v>10</v>
      </c>
      <c r="G20" s="1">
        <v>8</v>
      </c>
      <c r="H20" s="1">
        <v>360</v>
      </c>
      <c r="I20" s="1" t="s">
        <v>34</v>
      </c>
      <c r="J20" s="1">
        <v>8</v>
      </c>
      <c r="K20" s="1">
        <v>2000</v>
      </c>
      <c r="L20" s="1">
        <v>2007</v>
      </c>
      <c r="M20" s="1">
        <v>2017</v>
      </c>
      <c r="N20" s="1" t="s">
        <v>25</v>
      </c>
      <c r="O20" s="1">
        <v>234.97</v>
      </c>
      <c r="P20" s="1">
        <v>93.99</v>
      </c>
      <c r="Q20" s="1">
        <v>48.88</v>
      </c>
      <c r="R20" s="1">
        <v>488.8</v>
      </c>
      <c r="S20" s="1">
        <v>185.25</v>
      </c>
      <c r="T20" s="1">
        <v>21.24</v>
      </c>
      <c r="U20" s="1">
        <v>1024.25</v>
      </c>
      <c r="V20" t="b">
        <f>O20=SUMIF(satellite_components!A:A,satellite_programs!A20,satellite_components!H:H)</f>
        <v>1</v>
      </c>
      <c r="W20" t="b">
        <f>P20=SUMIF(satellite_components!A:A,satellite_programs!A20,satellite_components!I:I)</f>
        <v>1</v>
      </c>
      <c r="X20" t="b">
        <f>U20=SUMIF(satellite_costs_by_year!A:A,satellite_programs!A20,satellite_costs_by_year!K:K)</f>
        <v>1</v>
      </c>
    </row>
    <row r="21" spans="1:24" x14ac:dyDescent="0.5">
      <c r="A21" s="1" t="s">
        <v>51</v>
      </c>
      <c r="B21" s="1" t="s">
        <v>50</v>
      </c>
      <c r="C21" s="1" t="s">
        <v>23</v>
      </c>
      <c r="D21" s="1">
        <v>1750</v>
      </c>
      <c r="E21" s="1">
        <v>3800</v>
      </c>
      <c r="F21" s="1">
        <v>10</v>
      </c>
      <c r="G21" s="1">
        <v>9</v>
      </c>
      <c r="H21" s="1">
        <v>400</v>
      </c>
      <c r="I21" s="1" t="s">
        <v>34</v>
      </c>
      <c r="J21" s="1">
        <v>8</v>
      </c>
      <c r="K21" s="1">
        <v>2003</v>
      </c>
      <c r="L21" s="1">
        <v>2010</v>
      </c>
      <c r="M21" s="1">
        <v>2020</v>
      </c>
      <c r="N21" s="1" t="s">
        <v>25</v>
      </c>
      <c r="O21" s="1">
        <v>252.61</v>
      </c>
      <c r="P21" s="1">
        <v>101.04</v>
      </c>
      <c r="Q21" s="1">
        <v>51.2</v>
      </c>
      <c r="R21" s="1">
        <v>512</v>
      </c>
      <c r="S21" s="1">
        <v>190.68</v>
      </c>
      <c r="T21" s="1">
        <v>21.5</v>
      </c>
      <c r="U21" s="1">
        <v>1077.83</v>
      </c>
      <c r="V21" t="b">
        <f>O21=SUMIF(satellite_components!A:A,satellite_programs!A21,satellite_components!H:H)</f>
        <v>1</v>
      </c>
      <c r="W21" t="b">
        <f>P21=SUMIF(satellite_components!A:A,satellite_programs!A21,satellite_components!I:I)</f>
        <v>1</v>
      </c>
      <c r="X21" t="b">
        <f>U21=SUMIF(satellite_costs_by_year!A:A,satellite_programs!A21,satellite_costs_by_year!K:K)</f>
        <v>1</v>
      </c>
    </row>
    <row r="22" spans="1:24" x14ac:dyDescent="0.5">
      <c r="A22" s="1" t="s">
        <v>52</v>
      </c>
      <c r="B22" s="1" t="s">
        <v>50</v>
      </c>
      <c r="C22" s="1" t="s">
        <v>23</v>
      </c>
      <c r="D22" s="1">
        <v>1900</v>
      </c>
      <c r="E22" s="1">
        <v>4200</v>
      </c>
      <c r="F22" s="1">
        <v>12</v>
      </c>
      <c r="G22" s="1">
        <v>10</v>
      </c>
      <c r="H22" s="1">
        <v>440</v>
      </c>
      <c r="I22" s="1" t="s">
        <v>34</v>
      </c>
      <c r="J22" s="1">
        <v>9</v>
      </c>
      <c r="K22" s="1">
        <v>2006</v>
      </c>
      <c r="L22" s="1">
        <v>2013</v>
      </c>
      <c r="M22" s="1">
        <v>2025</v>
      </c>
      <c r="N22" s="1" t="s">
        <v>28</v>
      </c>
      <c r="O22" s="1">
        <v>272.19</v>
      </c>
      <c r="P22" s="1">
        <v>108.88</v>
      </c>
      <c r="Q22" s="1">
        <v>53.6</v>
      </c>
      <c r="R22" s="1">
        <v>643.20000000000005</v>
      </c>
      <c r="S22" s="1">
        <v>241.58</v>
      </c>
      <c r="T22" s="1">
        <v>21.8</v>
      </c>
      <c r="U22" s="1">
        <v>1287.6500000000001</v>
      </c>
      <c r="V22" t="b">
        <f>O22=SUMIF(satellite_components!A:A,satellite_programs!A22,satellite_components!H:H)</f>
        <v>1</v>
      </c>
      <c r="W22" t="b">
        <f>P22=SUMIF(satellite_components!A:A,satellite_programs!A22,satellite_components!I:I)</f>
        <v>1</v>
      </c>
      <c r="X22" t="b">
        <f>U22=SUMIF(satellite_costs_by_year!A:A,satellite_programs!A22,satellite_costs_by_year!K:K)</f>
        <v>1</v>
      </c>
    </row>
    <row r="23" spans="1:24" x14ac:dyDescent="0.5">
      <c r="A23" s="1" t="s">
        <v>53</v>
      </c>
      <c r="B23" s="1" t="s">
        <v>50</v>
      </c>
      <c r="C23" s="1" t="s">
        <v>23</v>
      </c>
      <c r="D23" s="1">
        <v>2050</v>
      </c>
      <c r="E23" s="1">
        <v>4600</v>
      </c>
      <c r="F23" s="1">
        <v>12</v>
      </c>
      <c r="G23" s="1">
        <v>10</v>
      </c>
      <c r="H23" s="1">
        <v>480</v>
      </c>
      <c r="I23" s="1" t="s">
        <v>24</v>
      </c>
      <c r="J23" s="1">
        <v>9</v>
      </c>
      <c r="K23" s="1">
        <v>2009</v>
      </c>
      <c r="L23" s="1">
        <v>2016</v>
      </c>
      <c r="M23" s="1">
        <v>2028</v>
      </c>
      <c r="N23" s="1" t="s">
        <v>28</v>
      </c>
      <c r="O23" s="1">
        <v>247.54</v>
      </c>
      <c r="P23" s="1">
        <v>99.02</v>
      </c>
      <c r="Q23" s="1">
        <v>54.2</v>
      </c>
      <c r="R23" s="1">
        <v>650.4</v>
      </c>
      <c r="S23" s="1">
        <v>248.29</v>
      </c>
      <c r="T23" s="1">
        <v>22.1</v>
      </c>
      <c r="U23" s="1">
        <v>1267.3499999999999</v>
      </c>
      <c r="V23" t="b">
        <f>O23=SUMIF(satellite_components!A:A,satellite_programs!A23,satellite_components!H:H)</f>
        <v>1</v>
      </c>
      <c r="W23" t="b">
        <f>P23=SUMIF(satellite_components!A:A,satellite_programs!A23,satellite_components!I:I)</f>
        <v>1</v>
      </c>
      <c r="X23" t="b">
        <f>U23=SUMIF(satellite_costs_by_year!A:A,satellite_programs!A23,satellite_costs_by_year!K:K)</f>
        <v>1</v>
      </c>
    </row>
    <row r="24" spans="1:24" x14ac:dyDescent="0.5">
      <c r="A24" s="1" t="s">
        <v>54</v>
      </c>
      <c r="B24" s="1" t="s">
        <v>50</v>
      </c>
      <c r="C24" s="1" t="s">
        <v>23</v>
      </c>
      <c r="D24" s="1">
        <v>2200</v>
      </c>
      <c r="E24" s="1">
        <v>5100</v>
      </c>
      <c r="F24" s="1">
        <v>15</v>
      </c>
      <c r="G24" s="1">
        <v>11</v>
      </c>
      <c r="H24" s="1">
        <v>520</v>
      </c>
      <c r="I24" s="1" t="s">
        <v>24</v>
      </c>
      <c r="J24" s="1">
        <v>9</v>
      </c>
      <c r="K24" s="1">
        <v>2013</v>
      </c>
      <c r="L24" s="1">
        <v>2020</v>
      </c>
      <c r="M24" s="1">
        <v>2035</v>
      </c>
      <c r="N24" s="1" t="s">
        <v>28</v>
      </c>
      <c r="O24" s="1">
        <v>282.88</v>
      </c>
      <c r="P24" s="1">
        <v>113.15</v>
      </c>
      <c r="Q24" s="1">
        <v>56.6</v>
      </c>
      <c r="R24" s="1">
        <v>849</v>
      </c>
      <c r="S24" s="1">
        <v>331.05</v>
      </c>
      <c r="T24" s="1">
        <v>22.4</v>
      </c>
      <c r="U24" s="1">
        <v>1598.48</v>
      </c>
      <c r="V24" t="b">
        <f>O24=SUMIF(satellite_components!A:A,satellite_programs!A24,satellite_components!H:H)</f>
        <v>1</v>
      </c>
      <c r="W24" t="b">
        <f>P24=SUMIF(satellite_components!A:A,satellite_programs!A24,satellite_components!I:I)</f>
        <v>1</v>
      </c>
      <c r="X24" t="b">
        <f>U24=SUMIF(satellite_costs_by_year!A:A,satellite_programs!A24,satellite_costs_by_year!K:K)</f>
        <v>1</v>
      </c>
    </row>
    <row r="25" spans="1:24" x14ac:dyDescent="0.5">
      <c r="A25" s="1" t="s">
        <v>55</v>
      </c>
      <c r="B25" s="1" t="s">
        <v>56</v>
      </c>
      <c r="C25" s="1" t="s">
        <v>33</v>
      </c>
      <c r="D25" s="1">
        <v>420</v>
      </c>
      <c r="E25" s="1">
        <v>680</v>
      </c>
      <c r="F25" s="1">
        <v>5</v>
      </c>
      <c r="G25" s="1">
        <v>4</v>
      </c>
      <c r="H25" s="1">
        <v>210</v>
      </c>
      <c r="I25" s="1" t="s">
        <v>57</v>
      </c>
      <c r="J25" s="1">
        <v>6</v>
      </c>
      <c r="K25" s="1">
        <v>1996</v>
      </c>
      <c r="L25" s="1">
        <v>2002</v>
      </c>
      <c r="M25" s="1">
        <v>2007</v>
      </c>
      <c r="N25" s="1" t="s">
        <v>25</v>
      </c>
      <c r="O25" s="1">
        <v>81.3</v>
      </c>
      <c r="P25" s="1">
        <v>32.520000000000003</v>
      </c>
      <c r="Q25" s="1">
        <v>26.88</v>
      </c>
      <c r="R25" s="1">
        <v>134.4</v>
      </c>
      <c r="S25" s="1">
        <v>92.86</v>
      </c>
      <c r="T25" s="1">
        <v>8.84</v>
      </c>
      <c r="U25" s="1">
        <v>349.92</v>
      </c>
      <c r="V25" t="b">
        <f>O25=SUMIF(satellite_components!A:A,satellite_programs!A25,satellite_components!H:H)</f>
        <v>1</v>
      </c>
      <c r="W25" t="b">
        <f>P25=SUMIF(satellite_components!A:A,satellite_programs!A25,satellite_components!I:I)</f>
        <v>1</v>
      </c>
      <c r="X25" t="b">
        <f>U25=SUMIF(satellite_costs_by_year!A:A,satellite_programs!A25,satellite_costs_by_year!K:K)</f>
        <v>1</v>
      </c>
    </row>
    <row r="26" spans="1:24" x14ac:dyDescent="0.5">
      <c r="A26" s="1" t="s">
        <v>58</v>
      </c>
      <c r="B26" s="1" t="s">
        <v>56</v>
      </c>
      <c r="C26" s="1" t="s">
        <v>33</v>
      </c>
      <c r="D26" s="1">
        <v>480</v>
      </c>
      <c r="E26" s="1">
        <v>750</v>
      </c>
      <c r="F26" s="1">
        <v>5</v>
      </c>
      <c r="G26" s="1">
        <v>5</v>
      </c>
      <c r="H26" s="1">
        <v>240</v>
      </c>
      <c r="I26" s="1" t="s">
        <v>57</v>
      </c>
      <c r="J26" s="1">
        <v>6</v>
      </c>
      <c r="K26" s="1">
        <v>1999</v>
      </c>
      <c r="L26" s="1">
        <v>2005</v>
      </c>
      <c r="M26" s="1">
        <v>2010</v>
      </c>
      <c r="N26" s="1" t="s">
        <v>25</v>
      </c>
      <c r="O26" s="1">
        <v>90.43</v>
      </c>
      <c r="P26" s="1">
        <v>36.17</v>
      </c>
      <c r="Q26" s="1">
        <v>28.92</v>
      </c>
      <c r="R26" s="1">
        <v>144.6</v>
      </c>
      <c r="S26" s="1">
        <v>94.77</v>
      </c>
      <c r="T26" s="1">
        <v>8.9600000000000009</v>
      </c>
      <c r="U26" s="1">
        <v>374.93</v>
      </c>
      <c r="V26" t="b">
        <f>O26=SUMIF(satellite_components!A:A,satellite_programs!A26,satellite_components!H:H)</f>
        <v>1</v>
      </c>
      <c r="W26" t="b">
        <f>P26=SUMIF(satellite_components!A:A,satellite_programs!A26,satellite_components!I:I)</f>
        <v>1</v>
      </c>
      <c r="X26" t="b">
        <f>U26=SUMIF(satellite_costs_by_year!A:A,satellite_programs!A26,satellite_costs_by_year!K:K)</f>
        <v>1</v>
      </c>
    </row>
    <row r="27" spans="1:24" x14ac:dyDescent="0.5">
      <c r="A27" s="1" t="s">
        <v>59</v>
      </c>
      <c r="B27" s="1" t="s">
        <v>56</v>
      </c>
      <c r="C27" s="1" t="s">
        <v>33</v>
      </c>
      <c r="D27" s="1">
        <v>530</v>
      </c>
      <c r="E27" s="1">
        <v>820</v>
      </c>
      <c r="F27" s="1">
        <v>7</v>
      </c>
      <c r="G27" s="1">
        <v>5</v>
      </c>
      <c r="H27" s="1">
        <v>270</v>
      </c>
      <c r="I27" s="1" t="s">
        <v>34</v>
      </c>
      <c r="J27" s="1">
        <v>7</v>
      </c>
      <c r="K27" s="1">
        <v>2002</v>
      </c>
      <c r="L27" s="1">
        <v>2008</v>
      </c>
      <c r="M27" s="1">
        <v>2015</v>
      </c>
      <c r="N27" s="1" t="s">
        <v>25</v>
      </c>
      <c r="O27" s="1">
        <v>80.849999999999994</v>
      </c>
      <c r="P27" s="1">
        <v>32.340000000000003</v>
      </c>
      <c r="Q27" s="1">
        <v>29.12</v>
      </c>
      <c r="R27" s="1">
        <v>203.84</v>
      </c>
      <c r="S27" s="1">
        <v>139.16999999999999</v>
      </c>
      <c r="T27" s="1">
        <v>9.06</v>
      </c>
      <c r="U27" s="1">
        <v>465.26</v>
      </c>
      <c r="V27" t="b">
        <f>O27=SUMIF(satellite_components!A:A,satellite_programs!A27,satellite_components!H:H)</f>
        <v>1</v>
      </c>
      <c r="W27" t="b">
        <f>P27=SUMIF(satellite_components!A:A,satellite_programs!A27,satellite_components!I:I)</f>
        <v>1</v>
      </c>
      <c r="X27" t="b">
        <f>U27=SUMIF(satellite_costs_by_year!A:A,satellite_programs!A27,satellite_costs_by_year!K:K)</f>
        <v>1</v>
      </c>
    </row>
    <row r="28" spans="1:24" x14ac:dyDescent="0.5">
      <c r="A28" s="1" t="s">
        <v>60</v>
      </c>
      <c r="B28" s="1" t="s">
        <v>56</v>
      </c>
      <c r="C28" s="1" t="s">
        <v>33</v>
      </c>
      <c r="D28" s="1">
        <v>590</v>
      </c>
      <c r="E28" s="1">
        <v>900</v>
      </c>
      <c r="F28" s="1">
        <v>7</v>
      </c>
      <c r="G28" s="1">
        <v>6</v>
      </c>
      <c r="H28" s="1">
        <v>300</v>
      </c>
      <c r="I28" s="1" t="s">
        <v>34</v>
      </c>
      <c r="J28" s="1">
        <v>7</v>
      </c>
      <c r="K28" s="1">
        <v>2005</v>
      </c>
      <c r="L28" s="1">
        <v>2011</v>
      </c>
      <c r="M28" s="1">
        <v>2018</v>
      </c>
      <c r="N28" s="1" t="s">
        <v>25</v>
      </c>
      <c r="O28" s="1">
        <v>88.31</v>
      </c>
      <c r="P28" s="1">
        <v>35.32</v>
      </c>
      <c r="Q28" s="1">
        <v>31.16</v>
      </c>
      <c r="R28" s="1">
        <v>218.12</v>
      </c>
      <c r="S28" s="1">
        <v>141.91999999999999</v>
      </c>
      <c r="T28" s="1">
        <v>9.18</v>
      </c>
      <c r="U28" s="1">
        <v>492.85</v>
      </c>
      <c r="V28" t="b">
        <f>O28=SUMIF(satellite_components!A:A,satellite_programs!A28,satellite_components!H:H)</f>
        <v>1</v>
      </c>
      <c r="W28" t="b">
        <f>P28=SUMIF(satellite_components!A:A,satellite_programs!A28,satellite_components!I:I)</f>
        <v>1</v>
      </c>
      <c r="X28" t="b">
        <f>U28=SUMIF(satellite_costs_by_year!A:A,satellite_programs!A28,satellite_costs_by_year!K:K)</f>
        <v>1</v>
      </c>
    </row>
    <row r="29" spans="1:24" x14ac:dyDescent="0.5">
      <c r="A29" s="1" t="s">
        <v>61</v>
      </c>
      <c r="B29" s="1" t="s">
        <v>56</v>
      </c>
      <c r="C29" s="1" t="s">
        <v>62</v>
      </c>
      <c r="D29" s="1">
        <v>650</v>
      </c>
      <c r="E29" s="1">
        <v>980</v>
      </c>
      <c r="F29" s="1">
        <v>8</v>
      </c>
      <c r="G29" s="1">
        <v>6</v>
      </c>
      <c r="H29" s="1">
        <v>330</v>
      </c>
      <c r="I29" s="1" t="s">
        <v>34</v>
      </c>
      <c r="J29" s="1">
        <v>8</v>
      </c>
      <c r="K29" s="1">
        <v>2008</v>
      </c>
      <c r="L29" s="1">
        <v>2014</v>
      </c>
      <c r="M29" s="1">
        <v>2022</v>
      </c>
      <c r="N29" s="1" t="s">
        <v>25</v>
      </c>
      <c r="O29" s="1">
        <v>94.64</v>
      </c>
      <c r="P29" s="1">
        <v>37.86</v>
      </c>
      <c r="Q29" s="1">
        <v>37.4</v>
      </c>
      <c r="R29" s="1">
        <v>299.2</v>
      </c>
      <c r="S29" s="1">
        <v>149.93</v>
      </c>
      <c r="T29" s="1">
        <v>15.3</v>
      </c>
      <c r="U29" s="1">
        <v>596.92999999999995</v>
      </c>
      <c r="V29" t="b">
        <f>O29=SUMIF(satellite_components!A:A,satellite_programs!A29,satellite_components!H:H)</f>
        <v>1</v>
      </c>
      <c r="W29" t="b">
        <f>P29=SUMIF(satellite_components!A:A,satellite_programs!A29,satellite_components!I:I)</f>
        <v>1</v>
      </c>
      <c r="X29" t="b">
        <f>U29=SUMIF(satellite_costs_by_year!A:A,satellite_programs!A29,satellite_costs_by_year!K:K)</f>
        <v>1</v>
      </c>
    </row>
    <row r="30" spans="1:24" x14ac:dyDescent="0.5">
      <c r="A30" s="1" t="s">
        <v>63</v>
      </c>
      <c r="B30" s="1" t="s">
        <v>56</v>
      </c>
      <c r="C30" s="1" t="s">
        <v>62</v>
      </c>
      <c r="D30" s="1">
        <v>720</v>
      </c>
      <c r="E30" s="1">
        <v>1080</v>
      </c>
      <c r="F30" s="1">
        <v>8</v>
      </c>
      <c r="G30" s="1">
        <v>7</v>
      </c>
      <c r="H30" s="1">
        <v>360</v>
      </c>
      <c r="I30" s="1" t="s">
        <v>34</v>
      </c>
      <c r="J30" s="1">
        <v>8</v>
      </c>
      <c r="K30" s="1">
        <v>2011</v>
      </c>
      <c r="L30" s="1">
        <v>2017</v>
      </c>
      <c r="M30" s="1">
        <v>2025</v>
      </c>
      <c r="N30" s="1" t="s">
        <v>28</v>
      </c>
      <c r="O30" s="1">
        <v>103.13</v>
      </c>
      <c r="P30" s="1">
        <v>41.25</v>
      </c>
      <c r="Q30" s="1">
        <v>39.479999999999997</v>
      </c>
      <c r="R30" s="1">
        <v>315.83999999999997</v>
      </c>
      <c r="S30" s="1">
        <v>153.12</v>
      </c>
      <c r="T30" s="1">
        <v>15.44</v>
      </c>
      <c r="U30" s="1">
        <v>628.78</v>
      </c>
      <c r="V30" t="b">
        <f>O30=SUMIF(satellite_components!A:A,satellite_programs!A30,satellite_components!H:H)</f>
        <v>1</v>
      </c>
      <c r="W30" t="b">
        <f>P30=SUMIF(satellite_components!A:A,satellite_programs!A30,satellite_components!I:I)</f>
        <v>1</v>
      </c>
      <c r="X30" t="b">
        <f>U30=SUMIF(satellite_costs_by_year!A:A,satellite_programs!A30,satellite_costs_by_year!K:K)</f>
        <v>1</v>
      </c>
    </row>
    <row r="31" spans="1:24" x14ac:dyDescent="0.5">
      <c r="A31" s="1" t="s">
        <v>64</v>
      </c>
      <c r="B31" s="1" t="s">
        <v>56</v>
      </c>
      <c r="C31" s="1" t="s">
        <v>62</v>
      </c>
      <c r="D31" s="1">
        <v>810</v>
      </c>
      <c r="E31" s="1">
        <v>1200</v>
      </c>
      <c r="F31" s="1">
        <v>10</v>
      </c>
      <c r="G31" s="1">
        <v>8</v>
      </c>
      <c r="H31" s="1">
        <v>400</v>
      </c>
      <c r="I31" s="1" t="s">
        <v>34</v>
      </c>
      <c r="J31" s="1">
        <v>8</v>
      </c>
      <c r="K31" s="1">
        <v>2014</v>
      </c>
      <c r="L31" s="1">
        <v>2020</v>
      </c>
      <c r="M31" s="1">
        <v>2030</v>
      </c>
      <c r="N31" s="1" t="s">
        <v>28</v>
      </c>
      <c r="O31" s="1">
        <v>121.58</v>
      </c>
      <c r="P31" s="1">
        <v>48.63</v>
      </c>
      <c r="Q31" s="1">
        <v>41.64</v>
      </c>
      <c r="R31" s="1">
        <v>416.4</v>
      </c>
      <c r="S31" s="1">
        <v>202.03</v>
      </c>
      <c r="T31" s="1">
        <v>15.62</v>
      </c>
      <c r="U31" s="1">
        <v>804.26</v>
      </c>
      <c r="V31" t="b">
        <f>O31=SUMIF(satellite_components!A:A,satellite_programs!A31,satellite_components!H:H)</f>
        <v>1</v>
      </c>
      <c r="W31" t="b">
        <f>P31=SUMIF(satellite_components!A:A,satellite_programs!A31,satellite_components!I:I)</f>
        <v>1</v>
      </c>
      <c r="X31" t="b">
        <f>U31=SUMIF(satellite_costs_by_year!A:A,satellite_programs!A31,satellite_costs_by_year!K:K)</f>
        <v>1</v>
      </c>
    </row>
    <row r="32" spans="1:24" x14ac:dyDescent="0.5">
      <c r="A32" s="1" t="s">
        <v>65</v>
      </c>
      <c r="B32" s="1" t="s">
        <v>56</v>
      </c>
      <c r="C32" s="1" t="s">
        <v>62</v>
      </c>
      <c r="D32" s="1">
        <v>910</v>
      </c>
      <c r="E32" s="1">
        <v>1350</v>
      </c>
      <c r="F32" s="1">
        <v>10</v>
      </c>
      <c r="G32" s="1">
        <v>8</v>
      </c>
      <c r="H32" s="1">
        <v>440</v>
      </c>
      <c r="I32" s="1" t="s">
        <v>34</v>
      </c>
      <c r="J32" s="1">
        <v>9</v>
      </c>
      <c r="K32" s="1">
        <v>2017</v>
      </c>
      <c r="L32" s="1">
        <v>2023</v>
      </c>
      <c r="M32" s="1">
        <v>2033</v>
      </c>
      <c r="N32" s="1" t="s">
        <v>28</v>
      </c>
      <c r="O32" s="1">
        <v>127.27</v>
      </c>
      <c r="P32" s="1">
        <v>50.91</v>
      </c>
      <c r="Q32" s="1">
        <v>42.04</v>
      </c>
      <c r="R32" s="1">
        <v>420.4</v>
      </c>
      <c r="S32" s="1">
        <v>207.49</v>
      </c>
      <c r="T32" s="1">
        <v>15.82</v>
      </c>
      <c r="U32" s="1">
        <v>821.89</v>
      </c>
      <c r="V32" t="b">
        <f>O32=SUMIF(satellite_components!A:A,satellite_programs!A32,satellite_components!H:H)</f>
        <v>1</v>
      </c>
      <c r="W32" t="b">
        <f>P32=SUMIF(satellite_components!A:A,satellite_programs!A32,satellite_components!I:I)</f>
        <v>1</v>
      </c>
      <c r="X32" t="b">
        <f>U32=SUMIF(satellite_costs_by_year!A:A,satellite_programs!A32,satellite_costs_by_year!K:K)</f>
        <v>1</v>
      </c>
    </row>
    <row r="33" spans="1:24" x14ac:dyDescent="0.5">
      <c r="A33" s="1" t="s">
        <v>66</v>
      </c>
      <c r="B33" s="1" t="s">
        <v>67</v>
      </c>
      <c r="C33" s="1" t="s">
        <v>33</v>
      </c>
      <c r="D33" s="1">
        <v>1100</v>
      </c>
      <c r="E33" s="1">
        <v>2200</v>
      </c>
      <c r="F33" s="1">
        <v>7</v>
      </c>
      <c r="G33" s="1">
        <v>6</v>
      </c>
      <c r="H33" s="1">
        <v>580</v>
      </c>
      <c r="I33" s="1" t="s">
        <v>24</v>
      </c>
      <c r="J33" s="1">
        <v>9</v>
      </c>
      <c r="K33" s="1">
        <v>1997</v>
      </c>
      <c r="L33" s="1">
        <v>2003</v>
      </c>
      <c r="M33" s="1">
        <v>2010</v>
      </c>
      <c r="N33" s="1" t="s">
        <v>25</v>
      </c>
      <c r="O33" s="1">
        <v>121.23</v>
      </c>
      <c r="P33" s="1">
        <v>48.49</v>
      </c>
      <c r="Q33" s="1">
        <v>33.200000000000003</v>
      </c>
      <c r="R33" s="1">
        <v>232.4</v>
      </c>
      <c r="S33" s="1">
        <v>167.56</v>
      </c>
      <c r="T33" s="1">
        <v>10.199999999999999</v>
      </c>
      <c r="U33" s="1">
        <v>579.88</v>
      </c>
      <c r="V33" t="b">
        <f>O33=SUMIF(satellite_components!A:A,satellite_programs!A33,satellite_components!H:H)</f>
        <v>1</v>
      </c>
      <c r="W33" t="b">
        <f>P33=SUMIF(satellite_components!A:A,satellite_programs!A33,satellite_components!I:I)</f>
        <v>1</v>
      </c>
      <c r="X33" t="b">
        <f>U33=SUMIF(satellite_costs_by_year!A:A,satellite_programs!A33,satellite_costs_by_year!K:K)</f>
        <v>1</v>
      </c>
    </row>
    <row r="34" spans="1:24" x14ac:dyDescent="0.5">
      <c r="A34" s="1" t="s">
        <v>68</v>
      </c>
      <c r="B34" s="1" t="s">
        <v>67</v>
      </c>
      <c r="C34" s="1" t="s">
        <v>33</v>
      </c>
      <c r="D34" s="1">
        <v>1250</v>
      </c>
      <c r="E34" s="1">
        <v>2500</v>
      </c>
      <c r="F34" s="1">
        <v>7</v>
      </c>
      <c r="G34" s="1">
        <v>7</v>
      </c>
      <c r="H34" s="1">
        <v>620</v>
      </c>
      <c r="I34" s="1" t="s">
        <v>24</v>
      </c>
      <c r="J34" s="1">
        <v>9</v>
      </c>
      <c r="K34" s="1">
        <v>2000</v>
      </c>
      <c r="L34" s="1">
        <v>2007</v>
      </c>
      <c r="M34" s="1">
        <v>2014</v>
      </c>
      <c r="N34" s="1" t="s">
        <v>25</v>
      </c>
      <c r="O34" s="1">
        <v>135.15</v>
      </c>
      <c r="P34" s="1">
        <v>54.06</v>
      </c>
      <c r="Q34" s="1">
        <v>35.6</v>
      </c>
      <c r="R34" s="1">
        <v>249.2</v>
      </c>
      <c r="S34" s="1">
        <v>171.22</v>
      </c>
      <c r="T34" s="1">
        <v>10.5</v>
      </c>
      <c r="U34" s="1">
        <v>620.13</v>
      </c>
      <c r="V34" t="b">
        <f>O34=SUMIF(satellite_components!A:A,satellite_programs!A34,satellite_components!H:H)</f>
        <v>1</v>
      </c>
      <c r="W34" t="b">
        <f>P34=SUMIF(satellite_components!A:A,satellite_programs!A34,satellite_components!I:I)</f>
        <v>1</v>
      </c>
      <c r="X34" t="b">
        <f>U34=SUMIF(satellite_costs_by_year!A:A,satellite_programs!A34,satellite_costs_by_year!K:K)</f>
        <v>1</v>
      </c>
    </row>
    <row r="35" spans="1:24" x14ac:dyDescent="0.5">
      <c r="A35" s="1" t="s">
        <v>69</v>
      </c>
      <c r="B35" s="1" t="s">
        <v>67</v>
      </c>
      <c r="C35" s="1" t="s">
        <v>33</v>
      </c>
      <c r="D35" s="1">
        <v>1420</v>
      </c>
      <c r="E35" s="1">
        <v>2850</v>
      </c>
      <c r="F35" s="1">
        <v>8</v>
      </c>
      <c r="G35" s="1">
        <v>7</v>
      </c>
      <c r="H35" s="1">
        <v>680</v>
      </c>
      <c r="I35" s="1" t="s">
        <v>24</v>
      </c>
      <c r="J35" s="1">
        <v>9</v>
      </c>
      <c r="K35" s="1">
        <v>2003</v>
      </c>
      <c r="L35" s="1">
        <v>2010</v>
      </c>
      <c r="M35" s="1">
        <v>2018</v>
      </c>
      <c r="N35" s="1" t="s">
        <v>25</v>
      </c>
      <c r="O35" s="1">
        <v>156.88</v>
      </c>
      <c r="P35" s="1">
        <v>62.75</v>
      </c>
      <c r="Q35" s="1">
        <v>36.28</v>
      </c>
      <c r="R35" s="1">
        <v>290.24</v>
      </c>
      <c r="S35" s="1">
        <v>204.72</v>
      </c>
      <c r="T35" s="1">
        <v>10.84</v>
      </c>
      <c r="U35" s="1">
        <v>725.43</v>
      </c>
      <c r="V35" t="b">
        <f>O35=SUMIF(satellite_components!A:A,satellite_programs!A35,satellite_components!H:H)</f>
        <v>1</v>
      </c>
      <c r="W35" t="b">
        <f>P35=SUMIF(satellite_components!A:A,satellite_programs!A35,satellite_components!I:I)</f>
        <v>1</v>
      </c>
      <c r="X35" t="b">
        <f>U35=SUMIF(satellite_costs_by_year!A:A,satellite_programs!A35,satellite_costs_by_year!K:K)</f>
        <v>1</v>
      </c>
    </row>
    <row r="36" spans="1:24" x14ac:dyDescent="0.5">
      <c r="A36" s="1" t="s">
        <v>70</v>
      </c>
      <c r="B36" s="1" t="s">
        <v>67</v>
      </c>
      <c r="C36" s="1" t="s">
        <v>23</v>
      </c>
      <c r="D36" s="1">
        <v>2800</v>
      </c>
      <c r="E36" s="1">
        <v>6200</v>
      </c>
      <c r="F36" s="1">
        <v>12</v>
      </c>
      <c r="G36" s="1">
        <v>8</v>
      </c>
      <c r="H36" s="1">
        <v>780</v>
      </c>
      <c r="I36" s="1" t="s">
        <v>24</v>
      </c>
      <c r="J36" s="1">
        <v>9</v>
      </c>
      <c r="K36" s="1">
        <v>2006</v>
      </c>
      <c r="L36" s="1">
        <v>2013</v>
      </c>
      <c r="M36" s="1">
        <v>2025</v>
      </c>
      <c r="N36" s="1" t="s">
        <v>28</v>
      </c>
      <c r="O36" s="1">
        <v>321.79000000000002</v>
      </c>
      <c r="P36" s="1">
        <v>128.72</v>
      </c>
      <c r="Q36" s="1">
        <v>53.6</v>
      </c>
      <c r="R36" s="1">
        <v>643.20000000000005</v>
      </c>
      <c r="S36" s="1">
        <v>298.61</v>
      </c>
      <c r="T36" s="1">
        <v>23.6</v>
      </c>
      <c r="U36" s="1">
        <v>1415.92</v>
      </c>
      <c r="V36" t="b">
        <f>O36=SUMIF(satellite_components!A:A,satellite_programs!A36,satellite_components!H:H)</f>
        <v>1</v>
      </c>
      <c r="W36" t="b">
        <f>P36=SUMIF(satellite_components!A:A,satellite_programs!A36,satellite_components!I:I)</f>
        <v>1</v>
      </c>
      <c r="X36" t="b">
        <f>U36=SUMIF(satellite_costs_by_year!A:A,satellite_programs!A36,satellite_costs_by_year!K:K)</f>
        <v>1</v>
      </c>
    </row>
    <row r="37" spans="1:24" x14ac:dyDescent="0.5">
      <c r="A37" s="1" t="s">
        <v>71</v>
      </c>
      <c r="B37" s="1" t="s">
        <v>67</v>
      </c>
      <c r="C37" s="1" t="s">
        <v>23</v>
      </c>
      <c r="D37" s="1">
        <v>3100</v>
      </c>
      <c r="E37" s="1">
        <v>7000</v>
      </c>
      <c r="F37" s="1">
        <v>12</v>
      </c>
      <c r="G37" s="1">
        <v>9</v>
      </c>
      <c r="H37" s="1">
        <v>850</v>
      </c>
      <c r="I37" s="1" t="s">
        <v>24</v>
      </c>
      <c r="J37" s="1">
        <v>9</v>
      </c>
      <c r="K37" s="1">
        <v>2009</v>
      </c>
      <c r="L37" s="1">
        <v>2016</v>
      </c>
      <c r="M37" s="1">
        <v>2028</v>
      </c>
      <c r="N37" s="1" t="s">
        <v>28</v>
      </c>
      <c r="O37" s="1">
        <v>352.25</v>
      </c>
      <c r="P37" s="1">
        <v>140.9</v>
      </c>
      <c r="Q37" s="1">
        <v>56.6</v>
      </c>
      <c r="R37" s="1">
        <v>679.2</v>
      </c>
      <c r="S37" s="1">
        <v>310.36</v>
      </c>
      <c r="T37" s="1">
        <v>24.2</v>
      </c>
      <c r="U37" s="1">
        <v>1506.91</v>
      </c>
      <c r="V37" t="b">
        <f>O37=SUMIF(satellite_components!A:A,satellite_programs!A37,satellite_components!H:H)</f>
        <v>1</v>
      </c>
      <c r="W37" t="b">
        <f>P37=SUMIF(satellite_components!A:A,satellite_programs!A37,satellite_components!I:I)</f>
        <v>1</v>
      </c>
      <c r="X37" t="b">
        <f>U37=SUMIF(satellite_costs_by_year!A:A,satellite_programs!A37,satellite_costs_by_year!K:K)</f>
        <v>1</v>
      </c>
    </row>
    <row r="38" spans="1:24" x14ac:dyDescent="0.5">
      <c r="A38" s="1" t="s">
        <v>72</v>
      </c>
      <c r="B38" s="1" t="s">
        <v>67</v>
      </c>
      <c r="C38" s="1" t="s">
        <v>23</v>
      </c>
      <c r="D38" s="1">
        <v>3450</v>
      </c>
      <c r="E38" s="1">
        <v>7800</v>
      </c>
      <c r="F38" s="1">
        <v>15</v>
      </c>
      <c r="G38" s="1">
        <v>9</v>
      </c>
      <c r="H38" s="1">
        <v>920</v>
      </c>
      <c r="I38" s="1" t="s">
        <v>24</v>
      </c>
      <c r="J38" s="1">
        <v>9</v>
      </c>
      <c r="K38" s="1">
        <v>2012</v>
      </c>
      <c r="L38" s="1">
        <v>2019</v>
      </c>
      <c r="M38" s="1">
        <v>2034</v>
      </c>
      <c r="N38" s="1" t="s">
        <v>28</v>
      </c>
      <c r="O38" s="1">
        <v>412.59</v>
      </c>
      <c r="P38" s="1">
        <v>165.04</v>
      </c>
      <c r="Q38" s="1">
        <v>58</v>
      </c>
      <c r="R38" s="1">
        <v>870</v>
      </c>
      <c r="S38" s="1">
        <v>418.17</v>
      </c>
      <c r="T38" s="1">
        <v>24.9</v>
      </c>
      <c r="U38" s="1">
        <v>1890.7</v>
      </c>
      <c r="V38" t="b">
        <f>O38=SUMIF(satellite_components!A:A,satellite_programs!A38,satellite_components!H:H)</f>
        <v>1</v>
      </c>
      <c r="W38" t="b">
        <f>P38=SUMIF(satellite_components!A:A,satellite_programs!A38,satellite_components!I:I)</f>
        <v>1</v>
      </c>
      <c r="X38" t="b">
        <f>U38=SUMIF(satellite_costs_by_year!A:A,satellite_programs!A38,satellite_costs_by_year!K:K)</f>
        <v>1</v>
      </c>
    </row>
    <row r="39" spans="1:24" x14ac:dyDescent="0.5">
      <c r="A39" s="1" t="s">
        <v>73</v>
      </c>
      <c r="B39" s="1" t="s">
        <v>74</v>
      </c>
      <c r="C39" s="1" t="s">
        <v>33</v>
      </c>
      <c r="D39" s="1">
        <v>110</v>
      </c>
      <c r="E39" s="1">
        <v>180</v>
      </c>
      <c r="F39" s="1">
        <v>3</v>
      </c>
      <c r="G39" s="1">
        <v>2</v>
      </c>
      <c r="H39" s="1">
        <v>85</v>
      </c>
      <c r="I39" s="1" t="s">
        <v>57</v>
      </c>
      <c r="J39" s="1">
        <v>5</v>
      </c>
      <c r="K39" s="1">
        <v>2005</v>
      </c>
      <c r="L39" s="1">
        <v>2010</v>
      </c>
      <c r="M39" s="1">
        <v>2013</v>
      </c>
      <c r="N39" s="1" t="s">
        <v>25</v>
      </c>
      <c r="O39" s="1">
        <v>23.44</v>
      </c>
      <c r="P39" s="1">
        <v>9.3800000000000008</v>
      </c>
      <c r="Q39" s="1">
        <v>22.04</v>
      </c>
      <c r="R39" s="1">
        <v>66.12</v>
      </c>
      <c r="S39" s="1">
        <v>49.5</v>
      </c>
      <c r="T39" s="1">
        <v>8.2200000000000006</v>
      </c>
      <c r="U39" s="1">
        <v>156.66</v>
      </c>
      <c r="V39" t="b">
        <f>O39=SUMIF(satellite_components!A:A,satellite_programs!A39,satellite_components!H:H)</f>
        <v>1</v>
      </c>
      <c r="W39" t="b">
        <f>P39=SUMIF(satellite_components!A:A,satellite_programs!A39,satellite_components!I:I)</f>
        <v>1</v>
      </c>
      <c r="X39" t="b">
        <f>U39=SUMIF(satellite_costs_by_year!A:A,satellite_programs!A39,satellite_costs_by_year!K:K)</f>
        <v>1</v>
      </c>
    </row>
    <row r="40" spans="1:24" x14ac:dyDescent="0.5">
      <c r="A40" s="1" t="s">
        <v>75</v>
      </c>
      <c r="B40" s="1" t="s">
        <v>74</v>
      </c>
      <c r="C40" s="1" t="s">
        <v>33</v>
      </c>
      <c r="D40" s="1">
        <v>145</v>
      </c>
      <c r="E40" s="1">
        <v>230</v>
      </c>
      <c r="F40" s="1">
        <v>3</v>
      </c>
      <c r="G40" s="1">
        <v>3</v>
      </c>
      <c r="H40" s="1">
        <v>110</v>
      </c>
      <c r="I40" s="1" t="s">
        <v>57</v>
      </c>
      <c r="J40" s="1">
        <v>6</v>
      </c>
      <c r="K40" s="1">
        <v>2007</v>
      </c>
      <c r="L40" s="1">
        <v>2012</v>
      </c>
      <c r="M40" s="1">
        <v>2015</v>
      </c>
      <c r="N40" s="1" t="s">
        <v>25</v>
      </c>
      <c r="O40" s="1">
        <v>28.13</v>
      </c>
      <c r="P40" s="1">
        <v>11.25</v>
      </c>
      <c r="Q40" s="1">
        <v>23.98</v>
      </c>
      <c r="R40" s="1">
        <v>71.94</v>
      </c>
      <c r="S40" s="1">
        <v>50.43</v>
      </c>
      <c r="T40" s="1">
        <v>8.2899999999999991</v>
      </c>
      <c r="U40" s="1">
        <v>170.04</v>
      </c>
      <c r="V40" t="b">
        <f>O40=SUMIF(satellite_components!A:A,satellite_programs!A40,satellite_components!H:H)</f>
        <v>1</v>
      </c>
      <c r="W40" t="b">
        <f>P40=SUMIF(satellite_components!A:A,satellite_programs!A40,satellite_components!I:I)</f>
        <v>1</v>
      </c>
      <c r="X40" t="b">
        <f>U40=SUMIF(satellite_costs_by_year!A:A,satellite_programs!A40,satellite_costs_by_year!K:K)</f>
        <v>1</v>
      </c>
    </row>
    <row r="41" spans="1:24" x14ac:dyDescent="0.5">
      <c r="A41" s="1" t="s">
        <v>76</v>
      </c>
      <c r="B41" s="1" t="s">
        <v>74</v>
      </c>
      <c r="C41" s="1" t="s">
        <v>33</v>
      </c>
      <c r="D41" s="1">
        <v>190</v>
      </c>
      <c r="E41" s="1">
        <v>300</v>
      </c>
      <c r="F41" s="1">
        <v>3</v>
      </c>
      <c r="G41" s="1">
        <v>3</v>
      </c>
      <c r="H41" s="1">
        <v>140</v>
      </c>
      <c r="I41" s="1" t="s">
        <v>34</v>
      </c>
      <c r="J41" s="1">
        <v>6</v>
      </c>
      <c r="K41" s="1">
        <v>2009</v>
      </c>
      <c r="L41" s="1">
        <v>2014</v>
      </c>
      <c r="M41" s="1">
        <v>2017</v>
      </c>
      <c r="N41" s="1" t="s">
        <v>25</v>
      </c>
      <c r="O41" s="1">
        <v>27.63</v>
      </c>
      <c r="P41" s="1">
        <v>11.05</v>
      </c>
      <c r="Q41" s="1">
        <v>24.16</v>
      </c>
      <c r="R41" s="1">
        <v>72.48</v>
      </c>
      <c r="S41" s="1">
        <v>51.54</v>
      </c>
      <c r="T41" s="1">
        <v>8.3800000000000008</v>
      </c>
      <c r="U41" s="1">
        <v>171.08</v>
      </c>
      <c r="V41" t="b">
        <f>O41=SUMIF(satellite_components!A:A,satellite_programs!A41,satellite_components!H:H)</f>
        <v>1</v>
      </c>
      <c r="W41" t="b">
        <f>P41=SUMIF(satellite_components!A:A,satellite_programs!A41,satellite_components!I:I)</f>
        <v>1</v>
      </c>
      <c r="X41" t="b">
        <f>U41=SUMIF(satellite_costs_by_year!A:A,satellite_programs!A41,satellite_costs_by_year!K:K)</f>
        <v>1</v>
      </c>
    </row>
    <row r="42" spans="1:24" x14ac:dyDescent="0.5">
      <c r="A42" s="1" t="s">
        <v>77</v>
      </c>
      <c r="B42" s="1" t="s">
        <v>74</v>
      </c>
      <c r="C42" s="1" t="s">
        <v>33</v>
      </c>
      <c r="D42" s="1">
        <v>240</v>
      </c>
      <c r="E42" s="1">
        <v>380</v>
      </c>
      <c r="F42" s="1">
        <v>5</v>
      </c>
      <c r="G42" s="1">
        <v>4</v>
      </c>
      <c r="H42" s="1">
        <v>170</v>
      </c>
      <c r="I42" s="1" t="s">
        <v>34</v>
      </c>
      <c r="J42" s="1">
        <v>7</v>
      </c>
      <c r="K42" s="1">
        <v>2011</v>
      </c>
      <c r="L42" s="1">
        <v>2016</v>
      </c>
      <c r="M42" s="1">
        <v>2021</v>
      </c>
      <c r="N42" s="1" t="s">
        <v>25</v>
      </c>
      <c r="O42" s="1">
        <v>37.44</v>
      </c>
      <c r="P42" s="1">
        <v>14.98</v>
      </c>
      <c r="Q42" s="1">
        <v>26.16</v>
      </c>
      <c r="R42" s="1">
        <v>130.80000000000001</v>
      </c>
      <c r="S42" s="1">
        <v>90.3</v>
      </c>
      <c r="T42" s="1">
        <v>8.48</v>
      </c>
      <c r="U42" s="1">
        <v>282</v>
      </c>
      <c r="V42" t="b">
        <f>O42=SUMIF(satellite_components!A:A,satellite_programs!A42,satellite_components!H:H)</f>
        <v>1</v>
      </c>
      <c r="W42" t="b">
        <f>P42=SUMIF(satellite_components!A:A,satellite_programs!A42,satellite_components!I:I)</f>
        <v>1</v>
      </c>
      <c r="X42" t="b">
        <f>U42=SUMIF(satellite_costs_by_year!A:A,satellite_programs!A42,satellite_costs_by_year!K:K)</f>
        <v>1</v>
      </c>
    </row>
    <row r="43" spans="1:24" x14ac:dyDescent="0.5">
      <c r="A43" s="1" t="s">
        <v>78</v>
      </c>
      <c r="B43" s="1" t="s">
        <v>74</v>
      </c>
      <c r="C43" s="1" t="s">
        <v>33</v>
      </c>
      <c r="D43" s="1">
        <v>310</v>
      </c>
      <c r="E43" s="1">
        <v>480</v>
      </c>
      <c r="F43" s="1">
        <v>5</v>
      </c>
      <c r="G43" s="1">
        <v>4</v>
      </c>
      <c r="H43" s="1">
        <v>210</v>
      </c>
      <c r="I43" s="1" t="s">
        <v>34</v>
      </c>
      <c r="J43" s="1">
        <v>7</v>
      </c>
      <c r="K43" s="1">
        <v>2013</v>
      </c>
      <c r="L43" s="1">
        <v>2018</v>
      </c>
      <c r="M43" s="1">
        <v>2023</v>
      </c>
      <c r="N43" s="1" t="s">
        <v>25</v>
      </c>
      <c r="O43" s="1">
        <v>46.34</v>
      </c>
      <c r="P43" s="1">
        <v>18.54</v>
      </c>
      <c r="Q43" s="1">
        <v>26.44</v>
      </c>
      <c r="R43" s="1">
        <v>132.19999999999999</v>
      </c>
      <c r="S43" s="1">
        <v>92.86</v>
      </c>
      <c r="T43" s="1">
        <v>8.6199999999999992</v>
      </c>
      <c r="U43" s="1">
        <v>298.56</v>
      </c>
      <c r="V43" t="b">
        <f>O43=SUMIF(satellite_components!A:A,satellite_programs!A43,satellite_components!H:H)</f>
        <v>1</v>
      </c>
      <c r="W43" t="b">
        <f>P43=SUMIF(satellite_components!A:A,satellite_programs!A43,satellite_components!I:I)</f>
        <v>1</v>
      </c>
      <c r="X43" t="b">
        <f>U43=SUMIF(satellite_costs_by_year!A:A,satellite_programs!A43,satellite_costs_by_year!K:K)</f>
        <v>1</v>
      </c>
    </row>
    <row r="44" spans="1:24" x14ac:dyDescent="0.5">
      <c r="A44" s="1" t="s">
        <v>79</v>
      </c>
      <c r="B44" s="1" t="s">
        <v>22</v>
      </c>
      <c r="C44" s="1" t="s">
        <v>33</v>
      </c>
      <c r="D44" s="1">
        <v>42</v>
      </c>
      <c r="E44" s="1">
        <v>95</v>
      </c>
      <c r="F44" s="1">
        <v>5</v>
      </c>
      <c r="G44" s="1">
        <v>1</v>
      </c>
      <c r="H44" s="1">
        <v>48</v>
      </c>
      <c r="I44" s="1" t="s">
        <v>57</v>
      </c>
      <c r="J44" s="1">
        <v>7</v>
      </c>
      <c r="K44" s="1">
        <v>2015</v>
      </c>
      <c r="L44" s="1">
        <v>2020</v>
      </c>
      <c r="M44" s="1">
        <v>2025</v>
      </c>
      <c r="N44" s="1" t="s">
        <v>28</v>
      </c>
      <c r="O44" s="1">
        <v>11.7</v>
      </c>
      <c r="P44" s="1">
        <v>4.68</v>
      </c>
      <c r="Q44" s="1">
        <v>19.97</v>
      </c>
      <c r="R44" s="1">
        <v>99.85</v>
      </c>
      <c r="S44" s="1">
        <v>82.57</v>
      </c>
      <c r="T44" s="1">
        <v>8.08</v>
      </c>
      <c r="U44" s="1">
        <v>206.88</v>
      </c>
      <c r="V44" t="b">
        <f>O44=SUMIF(satellite_components!A:A,satellite_programs!A44,satellite_components!H:H)</f>
        <v>1</v>
      </c>
      <c r="W44" t="b">
        <f>P44=SUMIF(satellite_components!A:A,satellite_programs!A44,satellite_components!I:I)</f>
        <v>1</v>
      </c>
      <c r="X44" t="b">
        <f>U44=SUMIF(satellite_costs_by_year!A:A,satellite_programs!A44,satellite_costs_by_year!K:K)</f>
        <v>1</v>
      </c>
    </row>
    <row r="45" spans="1:24" x14ac:dyDescent="0.5">
      <c r="A45" s="1" t="s">
        <v>80</v>
      </c>
      <c r="B45" s="1" t="s">
        <v>22</v>
      </c>
      <c r="C45" s="1" t="s">
        <v>33</v>
      </c>
      <c r="D45" s="1">
        <v>55</v>
      </c>
      <c r="E45" s="1">
        <v>120</v>
      </c>
      <c r="F45" s="1">
        <v>5</v>
      </c>
      <c r="G45" s="1">
        <v>1</v>
      </c>
      <c r="H45" s="1">
        <v>56</v>
      </c>
      <c r="I45" s="1" t="s">
        <v>57</v>
      </c>
      <c r="J45" s="1">
        <v>7</v>
      </c>
      <c r="K45" s="1">
        <v>2016</v>
      </c>
      <c r="L45" s="1">
        <v>2021</v>
      </c>
      <c r="M45" s="1">
        <v>2026</v>
      </c>
      <c r="N45" s="1" t="s">
        <v>28</v>
      </c>
      <c r="O45" s="1">
        <v>14.61</v>
      </c>
      <c r="P45" s="1">
        <v>5.84</v>
      </c>
      <c r="Q45" s="1">
        <v>20.02</v>
      </c>
      <c r="R45" s="1">
        <v>100.1</v>
      </c>
      <c r="S45" s="1">
        <v>83.05</v>
      </c>
      <c r="T45" s="1">
        <v>8.11</v>
      </c>
      <c r="U45" s="1">
        <v>211.71</v>
      </c>
      <c r="V45" t="b">
        <f>O45=SUMIF(satellite_components!A:A,satellite_programs!A45,satellite_components!H:H)</f>
        <v>1</v>
      </c>
      <c r="W45" t="b">
        <f>P45=SUMIF(satellite_components!A:A,satellite_programs!A45,satellite_components!I:I)</f>
        <v>1</v>
      </c>
      <c r="X45" t="b">
        <f>U45=SUMIF(satellite_costs_by_year!A:A,satellite_programs!A45,satellite_costs_by_year!K:K)</f>
        <v>1</v>
      </c>
    </row>
    <row r="46" spans="1:24" x14ac:dyDescent="0.5">
      <c r="A46" s="1" t="s">
        <v>81</v>
      </c>
      <c r="B46" s="1" t="s">
        <v>32</v>
      </c>
      <c r="C46" s="1" t="s">
        <v>33</v>
      </c>
      <c r="D46" s="1">
        <v>68</v>
      </c>
      <c r="E46" s="1">
        <v>145</v>
      </c>
      <c r="F46" s="1">
        <v>5</v>
      </c>
      <c r="G46" s="1">
        <v>2</v>
      </c>
      <c r="H46" s="1">
        <v>70</v>
      </c>
      <c r="I46" s="1" t="s">
        <v>57</v>
      </c>
      <c r="J46" s="1">
        <v>7</v>
      </c>
      <c r="K46" s="1">
        <v>2017</v>
      </c>
      <c r="L46" s="1">
        <v>2022</v>
      </c>
      <c r="M46" s="1">
        <v>2027</v>
      </c>
      <c r="N46" s="1" t="s">
        <v>28</v>
      </c>
      <c r="O46" s="1">
        <v>17.41</v>
      </c>
      <c r="P46" s="1">
        <v>6.96</v>
      </c>
      <c r="Q46" s="1">
        <v>21.87</v>
      </c>
      <c r="R46" s="1">
        <v>109.35</v>
      </c>
      <c r="S46" s="1">
        <v>83.96</v>
      </c>
      <c r="T46" s="1">
        <v>8.14</v>
      </c>
      <c r="U46" s="1">
        <v>225.82</v>
      </c>
      <c r="V46" t="b">
        <f>O46=SUMIF(satellite_components!A:A,satellite_programs!A46,satellite_components!H:H)</f>
        <v>1</v>
      </c>
      <c r="W46" t="b">
        <f>P46=SUMIF(satellite_components!A:A,satellite_programs!A46,satellite_components!I:I)</f>
        <v>1</v>
      </c>
      <c r="X46" t="b">
        <f>U46=SUMIF(satellite_costs_by_year!A:A,satellite_programs!A46,satellite_costs_by_year!K:K)</f>
        <v>1</v>
      </c>
    </row>
    <row r="47" spans="1:24" x14ac:dyDescent="0.5">
      <c r="A47" s="1" t="s">
        <v>82</v>
      </c>
      <c r="B47" s="1" t="s">
        <v>32</v>
      </c>
      <c r="C47" s="1" t="s">
        <v>33</v>
      </c>
      <c r="D47" s="1">
        <v>82</v>
      </c>
      <c r="E47" s="1">
        <v>170</v>
      </c>
      <c r="F47" s="1">
        <v>5</v>
      </c>
      <c r="G47" s="1">
        <v>2</v>
      </c>
      <c r="H47" s="1">
        <v>82</v>
      </c>
      <c r="I47" s="1" t="s">
        <v>34</v>
      </c>
      <c r="J47" s="1">
        <v>8</v>
      </c>
      <c r="K47" s="1">
        <v>2018</v>
      </c>
      <c r="L47" s="1">
        <v>2023</v>
      </c>
      <c r="M47" s="1">
        <v>2028</v>
      </c>
      <c r="N47" s="1" t="s">
        <v>28</v>
      </c>
      <c r="O47" s="1">
        <v>15.08</v>
      </c>
      <c r="P47" s="1">
        <v>6.03</v>
      </c>
      <c r="Q47" s="1">
        <v>21.93</v>
      </c>
      <c r="R47" s="1">
        <v>109.65</v>
      </c>
      <c r="S47" s="1">
        <v>84.7</v>
      </c>
      <c r="T47" s="1">
        <v>8.16</v>
      </c>
      <c r="U47" s="1">
        <v>223.62</v>
      </c>
      <c r="V47" t="b">
        <f>O47=SUMIF(satellite_components!A:A,satellite_programs!A47,satellite_components!H:H)</f>
        <v>1</v>
      </c>
      <c r="W47" t="b">
        <f>P47=SUMIF(satellite_components!A:A,satellite_programs!A47,satellite_components!I:I)</f>
        <v>1</v>
      </c>
      <c r="X47" t="b">
        <f>U47=SUMIF(satellite_costs_by_year!A:A,satellite_programs!A47,satellite_costs_by_year!K:K)</f>
        <v>1</v>
      </c>
    </row>
    <row r="48" spans="1:24" x14ac:dyDescent="0.5">
      <c r="A48" s="1" t="s">
        <v>83</v>
      </c>
      <c r="B48" s="1" t="s">
        <v>32</v>
      </c>
      <c r="C48" s="1" t="s">
        <v>33</v>
      </c>
      <c r="D48" s="1">
        <v>98</v>
      </c>
      <c r="E48" s="1">
        <v>200</v>
      </c>
      <c r="F48" s="1">
        <v>7</v>
      </c>
      <c r="G48" s="1">
        <v>3</v>
      </c>
      <c r="H48" s="1">
        <v>96</v>
      </c>
      <c r="I48" s="1" t="s">
        <v>34</v>
      </c>
      <c r="J48" s="1">
        <v>8</v>
      </c>
      <c r="K48" s="1">
        <v>2019</v>
      </c>
      <c r="L48" s="1">
        <v>2024</v>
      </c>
      <c r="M48" s="1">
        <v>2031</v>
      </c>
      <c r="N48" s="1" t="s">
        <v>28</v>
      </c>
      <c r="O48" s="1">
        <v>19.34</v>
      </c>
      <c r="P48" s="1">
        <v>7.74</v>
      </c>
      <c r="Q48" s="1">
        <v>23.79</v>
      </c>
      <c r="R48" s="1">
        <v>166.53</v>
      </c>
      <c r="S48" s="1">
        <v>123.22</v>
      </c>
      <c r="T48" s="1">
        <v>8.1999999999999993</v>
      </c>
      <c r="U48" s="1">
        <v>325.02999999999997</v>
      </c>
      <c r="V48" t="b">
        <f>O48=SUMIF(satellite_components!A:A,satellite_programs!A48,satellite_components!H:H)</f>
        <v>1</v>
      </c>
      <c r="W48" t="b">
        <f>P48=SUMIF(satellite_components!A:A,satellite_programs!A48,satellite_components!I:I)</f>
        <v>1</v>
      </c>
      <c r="X48" t="b">
        <f>U48=SUMIF(satellite_costs_by_year!A:A,satellite_programs!A48,satellite_costs_by_year!K:K)</f>
        <v>1</v>
      </c>
    </row>
    <row r="49" spans="1:24" x14ac:dyDescent="0.5">
      <c r="A49" s="1" t="s">
        <v>84</v>
      </c>
      <c r="B49" s="1" t="s">
        <v>56</v>
      </c>
      <c r="C49" s="1" t="s">
        <v>85</v>
      </c>
      <c r="D49" s="1">
        <v>580</v>
      </c>
      <c r="E49" s="1">
        <v>820</v>
      </c>
      <c r="F49" s="1">
        <v>8</v>
      </c>
      <c r="G49" s="1">
        <v>7</v>
      </c>
      <c r="H49" s="1">
        <v>480</v>
      </c>
      <c r="I49" s="1" t="s">
        <v>57</v>
      </c>
      <c r="J49" s="1">
        <v>7</v>
      </c>
      <c r="K49" s="1">
        <v>2003</v>
      </c>
      <c r="L49" s="1">
        <v>2009</v>
      </c>
      <c r="M49" s="1">
        <v>2017</v>
      </c>
      <c r="N49" s="1" t="s">
        <v>25</v>
      </c>
      <c r="O49" s="1">
        <v>114.22</v>
      </c>
      <c r="P49" s="1">
        <v>45.69</v>
      </c>
      <c r="Q49" s="1">
        <v>52.92</v>
      </c>
      <c r="R49" s="1">
        <v>423.36</v>
      </c>
      <c r="S49" s="1">
        <v>227.72</v>
      </c>
      <c r="T49" s="1">
        <v>6.16</v>
      </c>
      <c r="U49" s="1">
        <v>817.15</v>
      </c>
      <c r="V49" t="b">
        <f>O49=SUMIF(satellite_components!A:A,satellite_programs!A49,satellite_components!H:H)</f>
        <v>1</v>
      </c>
      <c r="W49" t="b">
        <f>P49=SUMIF(satellite_components!A:A,satellite_programs!A49,satellite_components!I:I)</f>
        <v>1</v>
      </c>
      <c r="X49" t="b">
        <f>U49=SUMIF(satellite_costs_by_year!A:A,satellite_programs!A49,satellite_costs_by_year!K:K)</f>
        <v>1</v>
      </c>
    </row>
    <row r="50" spans="1:24" x14ac:dyDescent="0.5">
      <c r="A50" s="1" t="s">
        <v>86</v>
      </c>
      <c r="B50" s="1" t="s">
        <v>56</v>
      </c>
      <c r="C50" s="1" t="s">
        <v>85</v>
      </c>
      <c r="D50" s="1">
        <v>720</v>
      </c>
      <c r="E50" s="1">
        <v>1020</v>
      </c>
      <c r="F50" s="1">
        <v>10</v>
      </c>
      <c r="G50" s="1">
        <v>8</v>
      </c>
      <c r="H50" s="1">
        <v>560</v>
      </c>
      <c r="I50" s="1" t="s">
        <v>57</v>
      </c>
      <c r="J50" s="1">
        <v>7</v>
      </c>
      <c r="K50" s="1">
        <v>2007</v>
      </c>
      <c r="L50" s="1">
        <v>2013</v>
      </c>
      <c r="M50" s="1">
        <v>2023</v>
      </c>
      <c r="N50" s="1" t="s">
        <v>25</v>
      </c>
      <c r="O50" s="1">
        <v>146.82</v>
      </c>
      <c r="P50" s="1">
        <v>58.73</v>
      </c>
      <c r="Q50" s="1">
        <v>55.28</v>
      </c>
      <c r="R50" s="1">
        <v>552.79999999999995</v>
      </c>
      <c r="S50" s="1">
        <v>303.26</v>
      </c>
      <c r="T50" s="1">
        <v>6.44</v>
      </c>
      <c r="U50" s="1">
        <v>1068.05</v>
      </c>
      <c r="V50" t="b">
        <f>O50=SUMIF(satellite_components!A:A,satellite_programs!A50,satellite_components!H:H)</f>
        <v>1</v>
      </c>
      <c r="W50" t="b">
        <f>P50=SUMIF(satellite_components!A:A,satellite_programs!A50,satellite_components!I:I)</f>
        <v>1</v>
      </c>
      <c r="X50" t="b">
        <f>U50=SUMIF(satellite_costs_by_year!A:A,satellite_programs!A50,satellite_costs_by_year!K:K)</f>
        <v>1</v>
      </c>
    </row>
    <row r="51" spans="1:24" x14ac:dyDescent="0.5">
      <c r="A51" s="1" t="s">
        <v>87</v>
      </c>
      <c r="B51" s="1" t="s">
        <v>56</v>
      </c>
      <c r="C51" s="1" t="s">
        <v>85</v>
      </c>
      <c r="D51" s="1">
        <v>890</v>
      </c>
      <c r="E51" s="1">
        <v>1250</v>
      </c>
      <c r="F51" s="1">
        <v>12</v>
      </c>
      <c r="G51" s="1">
        <v>9</v>
      </c>
      <c r="H51" s="1">
        <v>640</v>
      </c>
      <c r="I51" s="1" t="s">
        <v>34</v>
      </c>
      <c r="J51" s="1">
        <v>8</v>
      </c>
      <c r="K51" s="1">
        <v>2012</v>
      </c>
      <c r="L51" s="1">
        <v>2018</v>
      </c>
      <c r="M51" s="1">
        <v>2030</v>
      </c>
      <c r="N51" s="1" t="s">
        <v>28</v>
      </c>
      <c r="O51" s="1">
        <v>137.65</v>
      </c>
      <c r="P51" s="1">
        <v>55.06</v>
      </c>
      <c r="Q51" s="1">
        <v>57.76</v>
      </c>
      <c r="R51" s="1">
        <v>693.12</v>
      </c>
      <c r="S51" s="1">
        <v>386.94</v>
      </c>
      <c r="T51" s="1">
        <v>6.78</v>
      </c>
      <c r="U51" s="1">
        <v>1279.55</v>
      </c>
      <c r="V51" t="b">
        <f>O51=SUMIF(satellite_components!A:A,satellite_programs!A51,satellite_components!H:H)</f>
        <v>1</v>
      </c>
      <c r="W51" t="b">
        <f>P51=SUMIF(satellite_components!A:A,satellite_programs!A51,satellite_components!I:I)</f>
        <v>1</v>
      </c>
      <c r="X51" t="b">
        <f>U51=SUMIF(satellite_costs_by_year!A:A,satellite_programs!A51,satellite_costs_by_year!K:K)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C8ED-C9DA-4C68-BC44-7238CD72CE96}">
  <dimension ref="A1:U51"/>
  <sheetViews>
    <sheetView workbookViewId="0">
      <pane ySplit="1" topLeftCell="A2" activePane="bottomLeft" state="frozen"/>
      <selection activeCell="Q11" sqref="Q11"/>
      <selection pane="bottomLeft" activeCell="Q11" sqref="Q11"/>
    </sheetView>
  </sheetViews>
  <sheetFormatPr defaultRowHeight="14.35" x14ac:dyDescent="0.5"/>
  <cols>
    <col min="1" max="1" width="12.52734375" style="1" bestFit="1" customWidth="1"/>
    <col min="2" max="2" width="16.3515625" style="1" bestFit="1" customWidth="1"/>
    <col min="3" max="3" width="11.64453125" style="1" bestFit="1" customWidth="1"/>
    <col min="4" max="4" width="16.1171875" style="1" bestFit="1" customWidth="1"/>
    <col min="5" max="5" width="22.46875" style="1" bestFit="1" customWidth="1"/>
    <col min="6" max="6" width="10.234375" style="1" bestFit="1" customWidth="1"/>
    <col min="7" max="7" width="13" style="1" bestFit="1" customWidth="1"/>
    <col min="8" max="8" width="29.64453125" style="1" bestFit="1" customWidth="1"/>
    <col min="9" max="9" width="19.52734375" style="1" bestFit="1" customWidth="1"/>
    <col min="10" max="10" width="20.52734375" style="1" bestFit="1" customWidth="1"/>
    <col min="11" max="11" width="23" style="1" bestFit="1" customWidth="1"/>
    <col min="12" max="12" width="27.703125" style="1" bestFit="1" customWidth="1"/>
    <col min="13" max="13" width="37.29296875" style="1" bestFit="1" customWidth="1"/>
    <col min="14" max="14" width="30.87890625" style="1" bestFit="1" customWidth="1"/>
    <col min="15" max="15" width="30.9375" style="1" bestFit="1" customWidth="1"/>
    <col min="16" max="16" width="18.5859375" style="1" bestFit="1" customWidth="1"/>
    <col min="17" max="17" width="14.52734375" style="1" bestFit="1" customWidth="1"/>
    <col min="18" max="18" width="21.05859375" style="1" bestFit="1" customWidth="1"/>
    <col min="19" max="19" width="12.3515625" style="1" bestFit="1" customWidth="1"/>
    <col min="20" max="20" width="14.8203125" style="1" bestFit="1" customWidth="1"/>
    <col min="21" max="21" width="19.52734375" style="1" bestFit="1" customWidth="1"/>
  </cols>
  <sheetData>
    <row r="1" spans="1:21" x14ac:dyDescent="0.5">
      <c r="A1" s="1" t="s">
        <v>0</v>
      </c>
      <c r="B1" s="1" t="s">
        <v>1</v>
      </c>
      <c r="C1" s="1" t="s">
        <v>2</v>
      </c>
      <c r="D1" s="1" t="s">
        <v>8</v>
      </c>
      <c r="E1" s="1" t="s">
        <v>9</v>
      </c>
      <c r="F1" s="1" t="s">
        <v>11</v>
      </c>
      <c r="G1" s="1" t="s">
        <v>102</v>
      </c>
      <c r="H1" s="1" t="s">
        <v>101</v>
      </c>
      <c r="I1" s="1" t="s">
        <v>100</v>
      </c>
      <c r="J1" s="1" t="s">
        <v>99</v>
      </c>
      <c r="K1" s="1" t="s">
        <v>98</v>
      </c>
      <c r="L1" s="1" t="s">
        <v>97</v>
      </c>
      <c r="M1" s="1" t="s">
        <v>96</v>
      </c>
      <c r="N1" s="1" t="s">
        <v>95</v>
      </c>
      <c r="O1" s="1" t="s">
        <v>94</v>
      </c>
      <c r="P1" s="1" t="s">
        <v>93</v>
      </c>
      <c r="Q1" s="1" t="s">
        <v>92</v>
      </c>
      <c r="R1" s="1" t="s">
        <v>91</v>
      </c>
      <c r="S1" s="1" t="s">
        <v>90</v>
      </c>
      <c r="T1" s="1" t="s">
        <v>89</v>
      </c>
      <c r="U1" s="1" t="s">
        <v>88</v>
      </c>
    </row>
    <row r="2" spans="1:21" x14ac:dyDescent="0.5">
      <c r="A2" s="1" t="s">
        <v>21</v>
      </c>
      <c r="B2" s="1" t="s">
        <v>22</v>
      </c>
      <c r="C2" s="1" t="s">
        <v>23</v>
      </c>
      <c r="D2" s="1" t="s">
        <v>24</v>
      </c>
      <c r="E2" s="1">
        <v>9</v>
      </c>
      <c r="F2" s="1">
        <v>2005</v>
      </c>
      <c r="G2" s="1">
        <v>1</v>
      </c>
      <c r="H2" s="1">
        <v>111.17</v>
      </c>
      <c r="I2" s="1">
        <v>111.17</v>
      </c>
      <c r="J2" s="1">
        <v>46.69</v>
      </c>
      <c r="K2" s="1">
        <v>31.13</v>
      </c>
      <c r="L2" s="1">
        <v>20.010000000000002</v>
      </c>
      <c r="M2" s="1">
        <v>8.89</v>
      </c>
      <c r="N2" s="1">
        <v>4.45</v>
      </c>
      <c r="O2" s="1">
        <v>3.34</v>
      </c>
      <c r="P2" s="1">
        <v>3</v>
      </c>
      <c r="Q2" s="1">
        <v>524947</v>
      </c>
      <c r="R2" s="1">
        <v>58</v>
      </c>
      <c r="S2" s="1">
        <v>42</v>
      </c>
      <c r="T2" s="1">
        <v>28</v>
      </c>
      <c r="U2" s="1">
        <v>18</v>
      </c>
    </row>
    <row r="3" spans="1:21" x14ac:dyDescent="0.5">
      <c r="A3" s="1" t="s">
        <v>26</v>
      </c>
      <c r="B3" s="1" t="s">
        <v>22</v>
      </c>
      <c r="C3" s="1" t="s">
        <v>23</v>
      </c>
      <c r="D3" s="1" t="s">
        <v>24</v>
      </c>
      <c r="E3" s="1">
        <v>9</v>
      </c>
      <c r="F3" s="1">
        <v>2008</v>
      </c>
      <c r="G3" s="1">
        <v>1</v>
      </c>
      <c r="H3" s="1">
        <v>125.1</v>
      </c>
      <c r="I3" s="1">
        <v>125.1</v>
      </c>
      <c r="J3" s="1">
        <v>52.54</v>
      </c>
      <c r="K3" s="1">
        <v>35.03</v>
      </c>
      <c r="L3" s="1">
        <v>22.52</v>
      </c>
      <c r="M3" s="1">
        <v>10.01</v>
      </c>
      <c r="N3" s="1">
        <v>5</v>
      </c>
      <c r="O3" s="1">
        <v>3.75</v>
      </c>
      <c r="P3" s="1">
        <v>3</v>
      </c>
      <c r="Q3" s="1">
        <v>590720</v>
      </c>
      <c r="R3" s="1">
        <v>65</v>
      </c>
      <c r="S3" s="1">
        <v>42</v>
      </c>
      <c r="T3" s="1">
        <v>28</v>
      </c>
      <c r="U3" s="1">
        <v>18</v>
      </c>
    </row>
    <row r="4" spans="1:21" x14ac:dyDescent="0.5">
      <c r="A4" s="1" t="s">
        <v>27</v>
      </c>
      <c r="B4" s="1" t="s">
        <v>22</v>
      </c>
      <c r="C4" s="1" t="s">
        <v>23</v>
      </c>
      <c r="D4" s="1" t="s">
        <v>24</v>
      </c>
      <c r="E4" s="1">
        <v>9</v>
      </c>
      <c r="F4" s="1">
        <v>2011</v>
      </c>
      <c r="G4" s="1">
        <v>1</v>
      </c>
      <c r="H4" s="1">
        <v>147.46</v>
      </c>
      <c r="I4" s="1">
        <v>147.46</v>
      </c>
      <c r="J4" s="1">
        <v>61.93</v>
      </c>
      <c r="K4" s="1">
        <v>41.29</v>
      </c>
      <c r="L4" s="1">
        <v>26.54</v>
      </c>
      <c r="M4" s="1">
        <v>11.8</v>
      </c>
      <c r="N4" s="1">
        <v>5.9</v>
      </c>
      <c r="O4" s="1">
        <v>4.42</v>
      </c>
      <c r="P4" s="1">
        <v>3</v>
      </c>
      <c r="Q4" s="1">
        <v>696294</v>
      </c>
      <c r="R4" s="1">
        <v>77</v>
      </c>
      <c r="S4" s="1">
        <v>42</v>
      </c>
      <c r="T4" s="1">
        <v>28</v>
      </c>
      <c r="U4" s="1">
        <v>18</v>
      </c>
    </row>
    <row r="5" spans="1:21" x14ac:dyDescent="0.5">
      <c r="A5" s="1" t="s">
        <v>29</v>
      </c>
      <c r="B5" s="1" t="s">
        <v>22</v>
      </c>
      <c r="C5" s="1" t="s">
        <v>23</v>
      </c>
      <c r="D5" s="1" t="s">
        <v>24</v>
      </c>
      <c r="E5" s="1">
        <v>9</v>
      </c>
      <c r="F5" s="1">
        <v>2014</v>
      </c>
      <c r="G5" s="1">
        <v>1</v>
      </c>
      <c r="H5" s="1">
        <v>169.06</v>
      </c>
      <c r="I5" s="1">
        <v>169.06</v>
      </c>
      <c r="J5" s="1">
        <v>71.010000000000005</v>
      </c>
      <c r="K5" s="1">
        <v>47.34</v>
      </c>
      <c r="L5" s="1">
        <v>30.43</v>
      </c>
      <c r="M5" s="1">
        <v>13.52</v>
      </c>
      <c r="N5" s="1">
        <v>6.76</v>
      </c>
      <c r="O5" s="1">
        <v>5.07</v>
      </c>
      <c r="P5" s="1">
        <v>3</v>
      </c>
      <c r="Q5" s="1">
        <v>798383</v>
      </c>
      <c r="R5" s="1">
        <v>88</v>
      </c>
      <c r="S5" s="1">
        <v>42</v>
      </c>
      <c r="T5" s="1">
        <v>28</v>
      </c>
      <c r="U5" s="1">
        <v>18</v>
      </c>
    </row>
    <row r="6" spans="1:21" x14ac:dyDescent="0.5">
      <c r="A6" s="1" t="s">
        <v>30</v>
      </c>
      <c r="B6" s="1" t="s">
        <v>22</v>
      </c>
      <c r="C6" s="1" t="s">
        <v>23</v>
      </c>
      <c r="D6" s="1" t="s">
        <v>24</v>
      </c>
      <c r="E6" s="1">
        <v>9</v>
      </c>
      <c r="F6" s="1">
        <v>2017</v>
      </c>
      <c r="G6" s="1">
        <v>1</v>
      </c>
      <c r="H6" s="1">
        <v>185.33</v>
      </c>
      <c r="I6" s="1">
        <v>185.33</v>
      </c>
      <c r="J6" s="1">
        <v>77.84</v>
      </c>
      <c r="K6" s="1">
        <v>51.89</v>
      </c>
      <c r="L6" s="1">
        <v>33.36</v>
      </c>
      <c r="M6" s="1">
        <v>14.83</v>
      </c>
      <c r="N6" s="1">
        <v>7.41</v>
      </c>
      <c r="O6" s="1">
        <v>5.56</v>
      </c>
      <c r="P6" s="1">
        <v>3</v>
      </c>
      <c r="Q6" s="1">
        <v>875174</v>
      </c>
      <c r="R6" s="1">
        <v>96</v>
      </c>
      <c r="S6" s="1">
        <v>42</v>
      </c>
      <c r="T6" s="1">
        <v>28</v>
      </c>
      <c r="U6" s="1">
        <v>18</v>
      </c>
    </row>
    <row r="7" spans="1:21" x14ac:dyDescent="0.5">
      <c r="A7" s="1" t="s">
        <v>31</v>
      </c>
      <c r="B7" s="1" t="s">
        <v>32</v>
      </c>
      <c r="C7" s="1" t="s">
        <v>33</v>
      </c>
      <c r="D7" s="1" t="s">
        <v>34</v>
      </c>
      <c r="E7" s="1">
        <v>8</v>
      </c>
      <c r="F7" s="1">
        <v>2003</v>
      </c>
      <c r="G7" s="1">
        <v>1</v>
      </c>
      <c r="H7" s="1">
        <v>38.33</v>
      </c>
      <c r="I7" s="1">
        <v>38.33</v>
      </c>
      <c r="J7" s="1">
        <v>14.57</v>
      </c>
      <c r="K7" s="1">
        <v>11.5</v>
      </c>
      <c r="L7" s="1">
        <v>7.66</v>
      </c>
      <c r="M7" s="1">
        <v>3.07</v>
      </c>
      <c r="N7" s="1">
        <v>1.53</v>
      </c>
      <c r="O7" s="1">
        <v>1.46</v>
      </c>
      <c r="P7" s="1">
        <v>3.8</v>
      </c>
      <c r="Q7" s="1">
        <v>180390</v>
      </c>
      <c r="R7" s="1">
        <v>23</v>
      </c>
      <c r="S7" s="1">
        <v>38</v>
      </c>
      <c r="T7" s="1">
        <v>30</v>
      </c>
      <c r="U7" s="1">
        <v>20</v>
      </c>
    </row>
    <row r="8" spans="1:21" x14ac:dyDescent="0.5">
      <c r="A8" s="1" t="s">
        <v>35</v>
      </c>
      <c r="B8" s="1" t="s">
        <v>32</v>
      </c>
      <c r="C8" s="1" t="s">
        <v>33</v>
      </c>
      <c r="D8" s="1" t="s">
        <v>34</v>
      </c>
      <c r="E8" s="1">
        <v>8</v>
      </c>
      <c r="F8" s="1">
        <v>2005</v>
      </c>
      <c r="G8" s="1">
        <v>1</v>
      </c>
      <c r="H8" s="1">
        <v>40.81</v>
      </c>
      <c r="I8" s="1">
        <v>40.81</v>
      </c>
      <c r="J8" s="1">
        <v>15.51</v>
      </c>
      <c r="K8" s="1">
        <v>12.24</v>
      </c>
      <c r="L8" s="1">
        <v>8.17</v>
      </c>
      <c r="M8" s="1">
        <v>3.26</v>
      </c>
      <c r="N8" s="1">
        <v>1.63</v>
      </c>
      <c r="O8" s="1">
        <v>1.55</v>
      </c>
      <c r="P8" s="1">
        <v>3.8</v>
      </c>
      <c r="Q8" s="1">
        <v>192029</v>
      </c>
      <c r="R8" s="1">
        <v>25</v>
      </c>
      <c r="S8" s="1">
        <v>38</v>
      </c>
      <c r="T8" s="1">
        <v>30</v>
      </c>
      <c r="U8" s="1">
        <v>20</v>
      </c>
    </row>
    <row r="9" spans="1:21" x14ac:dyDescent="0.5">
      <c r="A9" s="1" t="s">
        <v>36</v>
      </c>
      <c r="B9" s="1" t="s">
        <v>32</v>
      </c>
      <c r="C9" s="1" t="s">
        <v>33</v>
      </c>
      <c r="D9" s="1" t="s">
        <v>34</v>
      </c>
      <c r="E9" s="1">
        <v>8</v>
      </c>
      <c r="F9" s="1">
        <v>2008</v>
      </c>
      <c r="G9" s="1">
        <v>1</v>
      </c>
      <c r="H9" s="1">
        <v>46.91</v>
      </c>
      <c r="I9" s="1">
        <v>46.91</v>
      </c>
      <c r="J9" s="1">
        <v>17.829999999999998</v>
      </c>
      <c r="K9" s="1">
        <v>14.07</v>
      </c>
      <c r="L9" s="1">
        <v>9.3800000000000008</v>
      </c>
      <c r="M9" s="1">
        <v>3.75</v>
      </c>
      <c r="N9" s="1">
        <v>1.88</v>
      </c>
      <c r="O9" s="1">
        <v>1.78</v>
      </c>
      <c r="P9" s="1">
        <v>3.8</v>
      </c>
      <c r="Q9" s="1">
        <v>220752</v>
      </c>
      <c r="R9" s="1">
        <v>28</v>
      </c>
      <c r="S9" s="1">
        <v>38</v>
      </c>
      <c r="T9" s="1">
        <v>30</v>
      </c>
      <c r="U9" s="1">
        <v>20</v>
      </c>
    </row>
    <row r="10" spans="1:21" x14ac:dyDescent="0.5">
      <c r="A10" s="1" t="s">
        <v>37</v>
      </c>
      <c r="B10" s="1" t="s">
        <v>32</v>
      </c>
      <c r="C10" s="1" t="s">
        <v>33</v>
      </c>
      <c r="D10" s="1" t="s">
        <v>34</v>
      </c>
      <c r="E10" s="1">
        <v>9</v>
      </c>
      <c r="F10" s="1">
        <v>2011</v>
      </c>
      <c r="G10" s="1">
        <v>1</v>
      </c>
      <c r="H10" s="1">
        <v>50.96</v>
      </c>
      <c r="I10" s="1">
        <v>50.96</v>
      </c>
      <c r="J10" s="1">
        <v>19.36</v>
      </c>
      <c r="K10" s="1">
        <v>15.29</v>
      </c>
      <c r="L10" s="1">
        <v>10.19</v>
      </c>
      <c r="M10" s="1">
        <v>4.08</v>
      </c>
      <c r="N10" s="1">
        <v>2.04</v>
      </c>
      <c r="O10" s="1">
        <v>1.53</v>
      </c>
      <c r="P10" s="1">
        <v>3</v>
      </c>
      <c r="Q10" s="1">
        <v>239695</v>
      </c>
      <c r="R10" s="1">
        <v>31</v>
      </c>
      <c r="S10" s="1">
        <v>38</v>
      </c>
      <c r="T10" s="1">
        <v>30</v>
      </c>
      <c r="U10" s="1">
        <v>20</v>
      </c>
    </row>
    <row r="11" spans="1:21" x14ac:dyDescent="0.5">
      <c r="A11" s="1" t="s">
        <v>38</v>
      </c>
      <c r="B11" s="1" t="s">
        <v>32</v>
      </c>
      <c r="C11" s="1" t="s">
        <v>33</v>
      </c>
      <c r="D11" s="1" t="s">
        <v>34</v>
      </c>
      <c r="E11" s="1">
        <v>9</v>
      </c>
      <c r="F11" s="1">
        <v>2014</v>
      </c>
      <c r="G11" s="1">
        <v>1</v>
      </c>
      <c r="H11" s="1">
        <v>59.82</v>
      </c>
      <c r="I11" s="1">
        <v>59.82</v>
      </c>
      <c r="J11" s="1">
        <v>22.73</v>
      </c>
      <c r="K11" s="1">
        <v>17.95</v>
      </c>
      <c r="L11" s="1">
        <v>11.96</v>
      </c>
      <c r="M11" s="1">
        <v>4.79</v>
      </c>
      <c r="N11" s="1">
        <v>2.39</v>
      </c>
      <c r="O11" s="1">
        <v>1.79</v>
      </c>
      <c r="P11" s="1">
        <v>3</v>
      </c>
      <c r="Q11" s="1">
        <v>281419</v>
      </c>
      <c r="R11" s="1">
        <v>36</v>
      </c>
      <c r="S11" s="1">
        <v>38</v>
      </c>
      <c r="T11" s="1">
        <v>30</v>
      </c>
      <c r="U11" s="1">
        <v>20</v>
      </c>
    </row>
    <row r="12" spans="1:21" x14ac:dyDescent="0.5">
      <c r="A12" s="1" t="s">
        <v>39</v>
      </c>
      <c r="B12" s="1" t="s">
        <v>32</v>
      </c>
      <c r="C12" s="1" t="s">
        <v>33</v>
      </c>
      <c r="D12" s="1" t="s">
        <v>34</v>
      </c>
      <c r="E12" s="1">
        <v>9</v>
      </c>
      <c r="F12" s="1">
        <v>2018</v>
      </c>
      <c r="G12" s="1">
        <v>1</v>
      </c>
      <c r="H12" s="1">
        <v>66.56</v>
      </c>
      <c r="I12" s="1">
        <v>66.56</v>
      </c>
      <c r="J12" s="1">
        <v>25.29</v>
      </c>
      <c r="K12" s="1">
        <v>19.97</v>
      </c>
      <c r="L12" s="1">
        <v>13.32</v>
      </c>
      <c r="M12" s="1">
        <v>5.32</v>
      </c>
      <c r="N12" s="1">
        <v>2.66</v>
      </c>
      <c r="O12" s="1">
        <v>2</v>
      </c>
      <c r="P12" s="1">
        <v>3</v>
      </c>
      <c r="Q12" s="1">
        <v>313114</v>
      </c>
      <c r="R12" s="1">
        <v>34</v>
      </c>
      <c r="S12" s="1">
        <v>38</v>
      </c>
      <c r="T12" s="1">
        <v>30</v>
      </c>
      <c r="U12" s="1">
        <v>20</v>
      </c>
    </row>
    <row r="13" spans="1:21" x14ac:dyDescent="0.5">
      <c r="A13" s="1" t="s">
        <v>40</v>
      </c>
      <c r="B13" s="1" t="s">
        <v>32</v>
      </c>
      <c r="C13" s="1" t="s">
        <v>33</v>
      </c>
      <c r="D13" s="1" t="s">
        <v>24</v>
      </c>
      <c r="E13" s="1">
        <v>9</v>
      </c>
      <c r="F13" s="1">
        <v>2021</v>
      </c>
      <c r="G13" s="1">
        <v>1</v>
      </c>
      <c r="H13" s="1">
        <v>67.22</v>
      </c>
      <c r="I13" s="1">
        <v>67.22</v>
      </c>
      <c r="J13" s="1">
        <v>25.54</v>
      </c>
      <c r="K13" s="1">
        <v>20.170000000000002</v>
      </c>
      <c r="L13" s="1">
        <v>13.44</v>
      </c>
      <c r="M13" s="1">
        <v>5.38</v>
      </c>
      <c r="N13" s="1">
        <v>2.69</v>
      </c>
      <c r="O13" s="1">
        <v>2.02</v>
      </c>
      <c r="P13" s="1">
        <v>3</v>
      </c>
      <c r="Q13" s="1">
        <v>287152</v>
      </c>
      <c r="R13" s="1">
        <v>32</v>
      </c>
      <c r="S13" s="1">
        <v>38</v>
      </c>
      <c r="T13" s="1">
        <v>30</v>
      </c>
      <c r="U13" s="1">
        <v>20</v>
      </c>
    </row>
    <row r="14" spans="1:21" x14ac:dyDescent="0.5">
      <c r="A14" s="1" t="s">
        <v>41</v>
      </c>
      <c r="B14" s="1" t="s">
        <v>32</v>
      </c>
      <c r="C14" s="1" t="s">
        <v>33</v>
      </c>
      <c r="D14" s="1" t="s">
        <v>24</v>
      </c>
      <c r="E14" s="1">
        <v>9</v>
      </c>
      <c r="F14" s="1">
        <v>2024</v>
      </c>
      <c r="G14" s="1">
        <v>1</v>
      </c>
      <c r="H14" s="1">
        <v>73.28</v>
      </c>
      <c r="I14" s="1">
        <v>73.28</v>
      </c>
      <c r="J14" s="1">
        <v>27.85</v>
      </c>
      <c r="K14" s="1">
        <v>21.98</v>
      </c>
      <c r="L14" s="1">
        <v>14.66</v>
      </c>
      <c r="M14" s="1">
        <v>5.86</v>
      </c>
      <c r="N14" s="1">
        <v>2.93</v>
      </c>
      <c r="O14" s="1">
        <v>2.2000000000000002</v>
      </c>
      <c r="P14" s="1">
        <v>3</v>
      </c>
      <c r="Q14" s="1">
        <v>313124</v>
      </c>
      <c r="R14" s="1">
        <v>34</v>
      </c>
      <c r="S14" s="1">
        <v>38</v>
      </c>
      <c r="T14" s="1">
        <v>30</v>
      </c>
      <c r="U14" s="1">
        <v>20</v>
      </c>
    </row>
    <row r="15" spans="1:21" x14ac:dyDescent="0.5">
      <c r="A15" s="1" t="s">
        <v>42</v>
      </c>
      <c r="B15" s="1" t="s">
        <v>43</v>
      </c>
      <c r="C15" s="1" t="s">
        <v>44</v>
      </c>
      <c r="D15" s="1" t="s">
        <v>24</v>
      </c>
      <c r="E15" s="1">
        <v>9</v>
      </c>
      <c r="F15" s="1">
        <v>2005</v>
      </c>
      <c r="G15" s="1">
        <v>3</v>
      </c>
      <c r="H15" s="1">
        <v>48.76</v>
      </c>
      <c r="I15" s="1">
        <v>16.25</v>
      </c>
      <c r="J15" s="1">
        <v>19.5</v>
      </c>
      <c r="K15" s="1">
        <v>14.14</v>
      </c>
      <c r="L15" s="1">
        <v>9.27</v>
      </c>
      <c r="M15" s="1">
        <v>3.9</v>
      </c>
      <c r="N15" s="1">
        <v>1.95</v>
      </c>
      <c r="O15" s="1">
        <v>1.46</v>
      </c>
      <c r="P15" s="1">
        <v>3</v>
      </c>
      <c r="Q15" s="1">
        <v>219243</v>
      </c>
      <c r="R15" s="1">
        <v>28</v>
      </c>
      <c r="S15" s="1">
        <v>40</v>
      </c>
      <c r="T15" s="1">
        <v>29</v>
      </c>
      <c r="U15" s="1">
        <v>19</v>
      </c>
    </row>
    <row r="16" spans="1:21" x14ac:dyDescent="0.5">
      <c r="A16" s="1" t="s">
        <v>45</v>
      </c>
      <c r="B16" s="1" t="s">
        <v>43</v>
      </c>
      <c r="C16" s="1" t="s">
        <v>44</v>
      </c>
      <c r="D16" s="1" t="s">
        <v>24</v>
      </c>
      <c r="E16" s="1">
        <v>9</v>
      </c>
      <c r="F16" s="1">
        <v>2007</v>
      </c>
      <c r="G16" s="1">
        <v>3</v>
      </c>
      <c r="H16" s="1">
        <v>50.4</v>
      </c>
      <c r="I16" s="1">
        <v>16.8</v>
      </c>
      <c r="J16" s="1">
        <v>20.16</v>
      </c>
      <c r="K16" s="1">
        <v>14.62</v>
      </c>
      <c r="L16" s="1">
        <v>9.57</v>
      </c>
      <c r="M16" s="1">
        <v>4.03</v>
      </c>
      <c r="N16" s="1">
        <v>2.02</v>
      </c>
      <c r="O16" s="1">
        <v>1.51</v>
      </c>
      <c r="P16" s="1">
        <v>3</v>
      </c>
      <c r="Q16" s="1">
        <v>226664</v>
      </c>
      <c r="R16" s="1">
        <v>29</v>
      </c>
      <c r="S16" s="1">
        <v>40</v>
      </c>
      <c r="T16" s="1">
        <v>29</v>
      </c>
      <c r="U16" s="1">
        <v>19</v>
      </c>
    </row>
    <row r="17" spans="1:21" x14ac:dyDescent="0.5">
      <c r="A17" s="1" t="s">
        <v>46</v>
      </c>
      <c r="B17" s="1" t="s">
        <v>43</v>
      </c>
      <c r="C17" s="1" t="s">
        <v>44</v>
      </c>
      <c r="D17" s="1" t="s">
        <v>24</v>
      </c>
      <c r="E17" s="1">
        <v>9</v>
      </c>
      <c r="F17" s="1">
        <v>2009</v>
      </c>
      <c r="G17" s="1">
        <v>5</v>
      </c>
      <c r="H17" s="1">
        <v>56.65</v>
      </c>
      <c r="I17" s="1">
        <v>11.33</v>
      </c>
      <c r="J17" s="1">
        <v>22.66</v>
      </c>
      <c r="K17" s="1">
        <v>16.43</v>
      </c>
      <c r="L17" s="1">
        <v>10.76</v>
      </c>
      <c r="M17" s="1">
        <v>4.53</v>
      </c>
      <c r="N17" s="1">
        <v>2.27</v>
      </c>
      <c r="O17" s="1">
        <v>1.7</v>
      </c>
      <c r="P17" s="1">
        <v>3</v>
      </c>
      <c r="Q17" s="1">
        <v>254772</v>
      </c>
      <c r="R17" s="1">
        <v>33</v>
      </c>
      <c r="S17" s="1">
        <v>40</v>
      </c>
      <c r="T17" s="1">
        <v>29</v>
      </c>
      <c r="U17" s="1">
        <v>19</v>
      </c>
    </row>
    <row r="18" spans="1:21" x14ac:dyDescent="0.5">
      <c r="A18" s="1" t="s">
        <v>47</v>
      </c>
      <c r="B18" s="1" t="s">
        <v>43</v>
      </c>
      <c r="C18" s="1" t="s">
        <v>44</v>
      </c>
      <c r="D18" s="1" t="s">
        <v>24</v>
      </c>
      <c r="E18" s="1">
        <v>9</v>
      </c>
      <c r="F18" s="1">
        <v>2012</v>
      </c>
      <c r="G18" s="1">
        <v>4</v>
      </c>
      <c r="H18" s="1">
        <v>59.38</v>
      </c>
      <c r="I18" s="1">
        <v>14.85</v>
      </c>
      <c r="J18" s="1">
        <v>23.75</v>
      </c>
      <c r="K18" s="1">
        <v>17.22</v>
      </c>
      <c r="L18" s="1">
        <v>11.28</v>
      </c>
      <c r="M18" s="1">
        <v>4.75</v>
      </c>
      <c r="N18" s="1">
        <v>2.38</v>
      </c>
      <c r="O18" s="1">
        <v>1.78</v>
      </c>
      <c r="P18" s="1">
        <v>3</v>
      </c>
      <c r="Q18" s="1">
        <v>267027</v>
      </c>
      <c r="R18" s="1">
        <v>34</v>
      </c>
      <c r="S18" s="1">
        <v>40</v>
      </c>
      <c r="T18" s="1">
        <v>29</v>
      </c>
      <c r="U18" s="1">
        <v>19</v>
      </c>
    </row>
    <row r="19" spans="1:21" x14ac:dyDescent="0.5">
      <c r="A19" s="1" t="s">
        <v>48</v>
      </c>
      <c r="B19" s="1" t="s">
        <v>43</v>
      </c>
      <c r="C19" s="1" t="s">
        <v>44</v>
      </c>
      <c r="D19" s="1" t="s">
        <v>24</v>
      </c>
      <c r="E19" s="1">
        <v>9</v>
      </c>
      <c r="F19" s="1">
        <v>2015</v>
      </c>
      <c r="G19" s="1">
        <v>4</v>
      </c>
      <c r="H19" s="1">
        <v>62.74</v>
      </c>
      <c r="I19" s="1">
        <v>15.69</v>
      </c>
      <c r="J19" s="1">
        <v>25.1</v>
      </c>
      <c r="K19" s="1">
        <v>18.190000000000001</v>
      </c>
      <c r="L19" s="1">
        <v>11.92</v>
      </c>
      <c r="M19" s="1">
        <v>5.0199999999999996</v>
      </c>
      <c r="N19" s="1">
        <v>2.5099999999999998</v>
      </c>
      <c r="O19" s="1">
        <v>1.88</v>
      </c>
      <c r="P19" s="1">
        <v>3</v>
      </c>
      <c r="Q19" s="1">
        <v>282205</v>
      </c>
      <c r="R19" s="1">
        <v>36</v>
      </c>
      <c r="S19" s="1">
        <v>40</v>
      </c>
      <c r="T19" s="1">
        <v>29</v>
      </c>
      <c r="U19" s="1">
        <v>19</v>
      </c>
    </row>
    <row r="20" spans="1:21" x14ac:dyDescent="0.5">
      <c r="A20" s="1" t="s">
        <v>49</v>
      </c>
      <c r="B20" s="1" t="s">
        <v>50</v>
      </c>
      <c r="C20" s="1" t="s">
        <v>23</v>
      </c>
      <c r="D20" s="1" t="s">
        <v>34</v>
      </c>
      <c r="E20" s="1">
        <v>8</v>
      </c>
      <c r="F20" s="1">
        <v>2007</v>
      </c>
      <c r="G20" s="1">
        <v>1</v>
      </c>
      <c r="H20" s="1">
        <v>93.99</v>
      </c>
      <c r="I20" s="1">
        <v>93.99</v>
      </c>
      <c r="J20" s="1">
        <v>39.479999999999997</v>
      </c>
      <c r="K20" s="1">
        <v>26.32</v>
      </c>
      <c r="L20" s="1">
        <v>16.91</v>
      </c>
      <c r="M20" s="1">
        <v>7.52</v>
      </c>
      <c r="N20" s="1">
        <v>3.76</v>
      </c>
      <c r="O20" s="1">
        <v>3.57</v>
      </c>
      <c r="P20" s="1">
        <v>3.8</v>
      </c>
      <c r="Q20" s="1">
        <v>488800</v>
      </c>
      <c r="R20" s="1">
        <v>54</v>
      </c>
      <c r="S20" s="1">
        <v>42</v>
      </c>
      <c r="T20" s="1">
        <v>28</v>
      </c>
      <c r="U20" s="1">
        <v>18</v>
      </c>
    </row>
    <row r="21" spans="1:21" x14ac:dyDescent="0.5">
      <c r="A21" s="1" t="s">
        <v>51</v>
      </c>
      <c r="B21" s="1" t="s">
        <v>50</v>
      </c>
      <c r="C21" s="1" t="s">
        <v>23</v>
      </c>
      <c r="D21" s="1" t="s">
        <v>34</v>
      </c>
      <c r="E21" s="1">
        <v>8</v>
      </c>
      <c r="F21" s="1">
        <v>2010</v>
      </c>
      <c r="G21" s="1">
        <v>1</v>
      </c>
      <c r="H21" s="1">
        <v>101.04</v>
      </c>
      <c r="I21" s="1">
        <v>101.04</v>
      </c>
      <c r="J21" s="1">
        <v>42.44</v>
      </c>
      <c r="K21" s="1">
        <v>28.29</v>
      </c>
      <c r="L21" s="1">
        <v>18.190000000000001</v>
      </c>
      <c r="M21" s="1">
        <v>8.08</v>
      </c>
      <c r="N21" s="1">
        <v>4.04</v>
      </c>
      <c r="O21" s="1">
        <v>3.84</v>
      </c>
      <c r="P21" s="1">
        <v>3.8</v>
      </c>
      <c r="Q21" s="1">
        <v>525448</v>
      </c>
      <c r="R21" s="1">
        <v>58</v>
      </c>
      <c r="S21" s="1">
        <v>42</v>
      </c>
      <c r="T21" s="1">
        <v>28</v>
      </c>
      <c r="U21" s="1">
        <v>18</v>
      </c>
    </row>
    <row r="22" spans="1:21" x14ac:dyDescent="0.5">
      <c r="A22" s="1" t="s">
        <v>52</v>
      </c>
      <c r="B22" s="1" t="s">
        <v>50</v>
      </c>
      <c r="C22" s="1" t="s">
        <v>23</v>
      </c>
      <c r="D22" s="1" t="s">
        <v>34</v>
      </c>
      <c r="E22" s="1">
        <v>9</v>
      </c>
      <c r="F22" s="1">
        <v>2013</v>
      </c>
      <c r="G22" s="1">
        <v>1</v>
      </c>
      <c r="H22" s="1">
        <v>108.88</v>
      </c>
      <c r="I22" s="1">
        <v>108.88</v>
      </c>
      <c r="J22" s="1">
        <v>45.73</v>
      </c>
      <c r="K22" s="1">
        <v>30.49</v>
      </c>
      <c r="L22" s="1">
        <v>19.59</v>
      </c>
      <c r="M22" s="1">
        <v>8.7100000000000009</v>
      </c>
      <c r="N22" s="1">
        <v>4.3600000000000003</v>
      </c>
      <c r="O22" s="1">
        <v>3.27</v>
      </c>
      <c r="P22" s="1">
        <v>3</v>
      </c>
      <c r="Q22" s="1">
        <v>566181</v>
      </c>
      <c r="R22" s="1">
        <v>62</v>
      </c>
      <c r="S22" s="1">
        <v>42</v>
      </c>
      <c r="T22" s="1">
        <v>28</v>
      </c>
      <c r="U22" s="1">
        <v>18</v>
      </c>
    </row>
    <row r="23" spans="1:21" x14ac:dyDescent="0.5">
      <c r="A23" s="1" t="s">
        <v>53</v>
      </c>
      <c r="B23" s="1" t="s">
        <v>50</v>
      </c>
      <c r="C23" s="1" t="s">
        <v>23</v>
      </c>
      <c r="D23" s="1" t="s">
        <v>24</v>
      </c>
      <c r="E23" s="1">
        <v>9</v>
      </c>
      <c r="F23" s="1">
        <v>2016</v>
      </c>
      <c r="G23" s="1">
        <v>1</v>
      </c>
      <c r="H23" s="1">
        <v>99.02</v>
      </c>
      <c r="I23" s="1">
        <v>99.02</v>
      </c>
      <c r="J23" s="1">
        <v>41.59</v>
      </c>
      <c r="K23" s="1">
        <v>27.73</v>
      </c>
      <c r="L23" s="1">
        <v>17.82</v>
      </c>
      <c r="M23" s="1">
        <v>7.92</v>
      </c>
      <c r="N23" s="1">
        <v>3.96</v>
      </c>
      <c r="O23" s="1">
        <v>2.97</v>
      </c>
      <c r="P23" s="1">
        <v>3</v>
      </c>
      <c r="Q23" s="1">
        <v>467606</v>
      </c>
      <c r="R23" s="1">
        <v>51</v>
      </c>
      <c r="S23" s="1">
        <v>42</v>
      </c>
      <c r="T23" s="1">
        <v>28</v>
      </c>
      <c r="U23" s="1">
        <v>18</v>
      </c>
    </row>
    <row r="24" spans="1:21" x14ac:dyDescent="0.5">
      <c r="A24" s="1" t="s">
        <v>54</v>
      </c>
      <c r="B24" s="1" t="s">
        <v>50</v>
      </c>
      <c r="C24" s="1" t="s">
        <v>23</v>
      </c>
      <c r="D24" s="1" t="s">
        <v>24</v>
      </c>
      <c r="E24" s="1">
        <v>9</v>
      </c>
      <c r="F24" s="1">
        <v>2020</v>
      </c>
      <c r="G24" s="1">
        <v>1</v>
      </c>
      <c r="H24" s="1">
        <v>113.15</v>
      </c>
      <c r="I24" s="1">
        <v>113.15</v>
      </c>
      <c r="J24" s="1">
        <v>47.52</v>
      </c>
      <c r="K24" s="1">
        <v>31.68</v>
      </c>
      <c r="L24" s="1">
        <v>20.37</v>
      </c>
      <c r="M24" s="1">
        <v>9.0500000000000007</v>
      </c>
      <c r="N24" s="1">
        <v>4.53</v>
      </c>
      <c r="O24" s="1">
        <v>3.39</v>
      </c>
      <c r="P24" s="1">
        <v>3</v>
      </c>
      <c r="Q24" s="1">
        <v>534279</v>
      </c>
      <c r="R24" s="1">
        <v>59</v>
      </c>
      <c r="S24" s="1">
        <v>42</v>
      </c>
      <c r="T24" s="1">
        <v>28</v>
      </c>
      <c r="U24" s="1">
        <v>18</v>
      </c>
    </row>
    <row r="25" spans="1:21" x14ac:dyDescent="0.5">
      <c r="A25" s="1" t="s">
        <v>55</v>
      </c>
      <c r="B25" s="1" t="s">
        <v>56</v>
      </c>
      <c r="C25" s="1" t="s">
        <v>33</v>
      </c>
      <c r="D25" s="1" t="s">
        <v>57</v>
      </c>
      <c r="E25" s="1">
        <v>6</v>
      </c>
      <c r="F25" s="1">
        <v>2002</v>
      </c>
      <c r="G25" s="1">
        <v>1</v>
      </c>
      <c r="H25" s="1">
        <v>32.520000000000003</v>
      </c>
      <c r="I25" s="1">
        <v>32.520000000000003</v>
      </c>
      <c r="J25" s="1">
        <v>12.36</v>
      </c>
      <c r="K25" s="1">
        <v>9.76</v>
      </c>
      <c r="L25" s="1">
        <v>6.5</v>
      </c>
      <c r="M25" s="1">
        <v>2.6</v>
      </c>
      <c r="N25" s="1">
        <v>1.3</v>
      </c>
      <c r="O25" s="1">
        <v>2.41</v>
      </c>
      <c r="P25" s="1">
        <v>7.4</v>
      </c>
      <c r="Q25" s="1">
        <v>169137</v>
      </c>
      <c r="R25" s="1">
        <v>22</v>
      </c>
      <c r="S25" s="1">
        <v>38</v>
      </c>
      <c r="T25" s="1">
        <v>30</v>
      </c>
      <c r="U25" s="1">
        <v>20</v>
      </c>
    </row>
    <row r="26" spans="1:21" x14ac:dyDescent="0.5">
      <c r="A26" s="1" t="s">
        <v>58</v>
      </c>
      <c r="B26" s="1" t="s">
        <v>56</v>
      </c>
      <c r="C26" s="1" t="s">
        <v>33</v>
      </c>
      <c r="D26" s="1" t="s">
        <v>57</v>
      </c>
      <c r="E26" s="1">
        <v>6</v>
      </c>
      <c r="F26" s="1">
        <v>2005</v>
      </c>
      <c r="G26" s="1">
        <v>1</v>
      </c>
      <c r="H26" s="1">
        <v>36.17</v>
      </c>
      <c r="I26" s="1">
        <v>36.17</v>
      </c>
      <c r="J26" s="1">
        <v>13.74</v>
      </c>
      <c r="K26" s="1">
        <v>10.85</v>
      </c>
      <c r="L26" s="1">
        <v>7.24</v>
      </c>
      <c r="M26" s="1">
        <v>2.89</v>
      </c>
      <c r="N26" s="1">
        <v>1.45</v>
      </c>
      <c r="O26" s="1">
        <v>2.68</v>
      </c>
      <c r="P26" s="1">
        <v>7.4</v>
      </c>
      <c r="Q26" s="1">
        <v>188021</v>
      </c>
      <c r="R26" s="1">
        <v>24</v>
      </c>
      <c r="S26" s="1">
        <v>38</v>
      </c>
      <c r="T26" s="1">
        <v>30</v>
      </c>
      <c r="U26" s="1">
        <v>20</v>
      </c>
    </row>
    <row r="27" spans="1:21" x14ac:dyDescent="0.5">
      <c r="A27" s="1" t="s">
        <v>59</v>
      </c>
      <c r="B27" s="1" t="s">
        <v>56</v>
      </c>
      <c r="C27" s="1" t="s">
        <v>33</v>
      </c>
      <c r="D27" s="1" t="s">
        <v>34</v>
      </c>
      <c r="E27" s="1">
        <v>7</v>
      </c>
      <c r="F27" s="1">
        <v>2008</v>
      </c>
      <c r="G27" s="1">
        <v>1</v>
      </c>
      <c r="H27" s="1">
        <v>32.340000000000003</v>
      </c>
      <c r="I27" s="1">
        <v>32.340000000000003</v>
      </c>
      <c r="J27" s="1">
        <v>12.29</v>
      </c>
      <c r="K27" s="1">
        <v>9.6999999999999993</v>
      </c>
      <c r="L27" s="1">
        <v>6.47</v>
      </c>
      <c r="M27" s="1">
        <v>2.59</v>
      </c>
      <c r="N27" s="1">
        <v>1.29</v>
      </c>
      <c r="O27" s="1">
        <v>1.49</v>
      </c>
      <c r="P27" s="1">
        <v>4.5999999999999996</v>
      </c>
      <c r="Q27" s="1">
        <v>152162</v>
      </c>
      <c r="R27" s="1">
        <v>20</v>
      </c>
      <c r="S27" s="1">
        <v>38</v>
      </c>
      <c r="T27" s="1">
        <v>30</v>
      </c>
      <c r="U27" s="1">
        <v>20</v>
      </c>
    </row>
    <row r="28" spans="1:21" x14ac:dyDescent="0.5">
      <c r="A28" s="1" t="s">
        <v>60</v>
      </c>
      <c r="B28" s="1" t="s">
        <v>56</v>
      </c>
      <c r="C28" s="1" t="s">
        <v>33</v>
      </c>
      <c r="D28" s="1" t="s">
        <v>34</v>
      </c>
      <c r="E28" s="1">
        <v>7</v>
      </c>
      <c r="F28" s="1">
        <v>2011</v>
      </c>
      <c r="G28" s="1">
        <v>1</v>
      </c>
      <c r="H28" s="1">
        <v>35.32</v>
      </c>
      <c r="I28" s="1">
        <v>35.32</v>
      </c>
      <c r="J28" s="1">
        <v>13.42</v>
      </c>
      <c r="K28" s="1">
        <v>10.6</v>
      </c>
      <c r="L28" s="1">
        <v>7.06</v>
      </c>
      <c r="M28" s="1">
        <v>2.83</v>
      </c>
      <c r="N28" s="1">
        <v>1.41</v>
      </c>
      <c r="O28" s="1">
        <v>1.62</v>
      </c>
      <c r="P28" s="1">
        <v>4.5999999999999996</v>
      </c>
      <c r="Q28" s="1">
        <v>166152</v>
      </c>
      <c r="R28" s="1">
        <v>21</v>
      </c>
      <c r="S28" s="1">
        <v>38</v>
      </c>
      <c r="T28" s="1">
        <v>30</v>
      </c>
      <c r="U28" s="1">
        <v>20</v>
      </c>
    </row>
    <row r="29" spans="1:21" x14ac:dyDescent="0.5">
      <c r="A29" s="1" t="s">
        <v>61</v>
      </c>
      <c r="B29" s="1" t="s">
        <v>56</v>
      </c>
      <c r="C29" s="1" t="s">
        <v>62</v>
      </c>
      <c r="D29" s="1" t="s">
        <v>34</v>
      </c>
      <c r="E29" s="1">
        <v>8</v>
      </c>
      <c r="F29" s="1">
        <v>2014</v>
      </c>
      <c r="G29" s="1">
        <v>1</v>
      </c>
      <c r="H29" s="1">
        <v>37.86</v>
      </c>
      <c r="I29" s="1">
        <v>37.86</v>
      </c>
      <c r="J29" s="1">
        <v>15.52</v>
      </c>
      <c r="K29" s="1">
        <v>10.6</v>
      </c>
      <c r="L29" s="1">
        <v>7.2</v>
      </c>
      <c r="M29" s="1">
        <v>3.03</v>
      </c>
      <c r="N29" s="1">
        <v>1.51</v>
      </c>
      <c r="O29" s="1">
        <v>1.44</v>
      </c>
      <c r="P29" s="1">
        <v>3.8</v>
      </c>
      <c r="Q29" s="1">
        <v>192152</v>
      </c>
      <c r="R29" s="1">
        <v>25</v>
      </c>
      <c r="S29" s="1">
        <v>41</v>
      </c>
      <c r="T29" s="1">
        <v>28</v>
      </c>
      <c r="U29" s="1">
        <v>19</v>
      </c>
    </row>
    <row r="30" spans="1:21" x14ac:dyDescent="0.5">
      <c r="A30" s="1" t="s">
        <v>63</v>
      </c>
      <c r="B30" s="1" t="s">
        <v>56</v>
      </c>
      <c r="C30" s="1" t="s">
        <v>62</v>
      </c>
      <c r="D30" s="1" t="s">
        <v>34</v>
      </c>
      <c r="E30" s="1">
        <v>8</v>
      </c>
      <c r="F30" s="1">
        <v>2017</v>
      </c>
      <c r="G30" s="1">
        <v>1</v>
      </c>
      <c r="H30" s="1">
        <v>41.25</v>
      </c>
      <c r="I30" s="1">
        <v>41.25</v>
      </c>
      <c r="J30" s="1">
        <v>16.91</v>
      </c>
      <c r="K30" s="1">
        <v>11.55</v>
      </c>
      <c r="L30" s="1">
        <v>7.84</v>
      </c>
      <c r="M30" s="1">
        <v>3.3</v>
      </c>
      <c r="N30" s="1">
        <v>1.65</v>
      </c>
      <c r="O30" s="1">
        <v>1.57</v>
      </c>
      <c r="P30" s="1">
        <v>3.8</v>
      </c>
      <c r="Q30" s="1">
        <v>209362</v>
      </c>
      <c r="R30" s="1">
        <v>27</v>
      </c>
      <c r="S30" s="1">
        <v>41</v>
      </c>
      <c r="T30" s="1">
        <v>28</v>
      </c>
      <c r="U30" s="1">
        <v>19</v>
      </c>
    </row>
    <row r="31" spans="1:21" x14ac:dyDescent="0.5">
      <c r="A31" s="1" t="s">
        <v>64</v>
      </c>
      <c r="B31" s="1" t="s">
        <v>56</v>
      </c>
      <c r="C31" s="1" t="s">
        <v>62</v>
      </c>
      <c r="D31" s="1" t="s">
        <v>34</v>
      </c>
      <c r="E31" s="1">
        <v>8</v>
      </c>
      <c r="F31" s="1">
        <v>2020</v>
      </c>
      <c r="G31" s="1">
        <v>1</v>
      </c>
      <c r="H31" s="1">
        <v>48.63</v>
      </c>
      <c r="I31" s="1">
        <v>48.63</v>
      </c>
      <c r="J31" s="1">
        <v>19.940000000000001</v>
      </c>
      <c r="K31" s="1">
        <v>13.62</v>
      </c>
      <c r="L31" s="1">
        <v>9.23</v>
      </c>
      <c r="M31" s="1">
        <v>3.89</v>
      </c>
      <c r="N31" s="1">
        <v>1.95</v>
      </c>
      <c r="O31" s="1">
        <v>1.85</v>
      </c>
      <c r="P31" s="1">
        <v>3.8</v>
      </c>
      <c r="Q31" s="1">
        <v>246876</v>
      </c>
      <c r="R31" s="1">
        <v>32</v>
      </c>
      <c r="S31" s="1">
        <v>41</v>
      </c>
      <c r="T31" s="1">
        <v>28</v>
      </c>
      <c r="U31" s="1">
        <v>19</v>
      </c>
    </row>
    <row r="32" spans="1:21" x14ac:dyDescent="0.5">
      <c r="A32" s="1" t="s">
        <v>65</v>
      </c>
      <c r="B32" s="1" t="s">
        <v>56</v>
      </c>
      <c r="C32" s="1" t="s">
        <v>62</v>
      </c>
      <c r="D32" s="1" t="s">
        <v>34</v>
      </c>
      <c r="E32" s="1">
        <v>9</v>
      </c>
      <c r="F32" s="1">
        <v>2023</v>
      </c>
      <c r="G32" s="1">
        <v>1</v>
      </c>
      <c r="H32" s="1">
        <v>50.91</v>
      </c>
      <c r="I32" s="1">
        <v>50.91</v>
      </c>
      <c r="J32" s="1">
        <v>20.87</v>
      </c>
      <c r="K32" s="1">
        <v>14.25</v>
      </c>
      <c r="L32" s="1">
        <v>9.68</v>
      </c>
      <c r="M32" s="1">
        <v>4.07</v>
      </c>
      <c r="N32" s="1">
        <v>2.04</v>
      </c>
      <c r="O32" s="1">
        <v>1.53</v>
      </c>
      <c r="P32" s="1">
        <v>3</v>
      </c>
      <c r="Q32" s="1">
        <v>258390</v>
      </c>
      <c r="R32" s="1">
        <v>33</v>
      </c>
      <c r="S32" s="1">
        <v>41</v>
      </c>
      <c r="T32" s="1">
        <v>28</v>
      </c>
      <c r="U32" s="1">
        <v>19</v>
      </c>
    </row>
    <row r="33" spans="1:21" x14ac:dyDescent="0.5">
      <c r="A33" s="1" t="s">
        <v>66</v>
      </c>
      <c r="B33" s="1" t="s">
        <v>67</v>
      </c>
      <c r="C33" s="1" t="s">
        <v>33</v>
      </c>
      <c r="D33" s="1" t="s">
        <v>24</v>
      </c>
      <c r="E33" s="1">
        <v>9</v>
      </c>
      <c r="F33" s="1">
        <v>2003</v>
      </c>
      <c r="G33" s="1">
        <v>1</v>
      </c>
      <c r="H33" s="1">
        <v>48.49</v>
      </c>
      <c r="I33" s="1">
        <v>48.49</v>
      </c>
      <c r="J33" s="1">
        <v>18.43</v>
      </c>
      <c r="K33" s="1">
        <v>14.55</v>
      </c>
      <c r="L33" s="1">
        <v>9.69</v>
      </c>
      <c r="M33" s="1">
        <v>3.88</v>
      </c>
      <c r="N33" s="1">
        <v>1.94</v>
      </c>
      <c r="O33" s="1">
        <v>1.45</v>
      </c>
      <c r="P33" s="1">
        <v>3</v>
      </c>
      <c r="Q33" s="1">
        <v>207213</v>
      </c>
      <c r="R33" s="1">
        <v>27</v>
      </c>
      <c r="S33" s="1">
        <v>38</v>
      </c>
      <c r="T33" s="1">
        <v>30</v>
      </c>
      <c r="U33" s="1">
        <v>20</v>
      </c>
    </row>
    <row r="34" spans="1:21" x14ac:dyDescent="0.5">
      <c r="A34" s="1" t="s">
        <v>68</v>
      </c>
      <c r="B34" s="1" t="s">
        <v>67</v>
      </c>
      <c r="C34" s="1" t="s">
        <v>33</v>
      </c>
      <c r="D34" s="1" t="s">
        <v>24</v>
      </c>
      <c r="E34" s="1">
        <v>9</v>
      </c>
      <c r="F34" s="1">
        <v>2007</v>
      </c>
      <c r="G34" s="1">
        <v>1</v>
      </c>
      <c r="H34" s="1">
        <v>54.06</v>
      </c>
      <c r="I34" s="1">
        <v>54.06</v>
      </c>
      <c r="J34" s="1">
        <v>20.54</v>
      </c>
      <c r="K34" s="1">
        <v>16.22</v>
      </c>
      <c r="L34" s="1">
        <v>10.82</v>
      </c>
      <c r="M34" s="1">
        <v>4.32</v>
      </c>
      <c r="N34" s="1">
        <v>2.16</v>
      </c>
      <c r="O34" s="1">
        <v>1.62</v>
      </c>
      <c r="P34" s="1">
        <v>3</v>
      </c>
      <c r="Q34" s="1">
        <v>230936</v>
      </c>
      <c r="R34" s="1">
        <v>25</v>
      </c>
      <c r="S34" s="1">
        <v>38</v>
      </c>
      <c r="T34" s="1">
        <v>30</v>
      </c>
      <c r="U34" s="1">
        <v>20</v>
      </c>
    </row>
    <row r="35" spans="1:21" x14ac:dyDescent="0.5">
      <c r="A35" s="1" t="s">
        <v>69</v>
      </c>
      <c r="B35" s="1" t="s">
        <v>67</v>
      </c>
      <c r="C35" s="1" t="s">
        <v>33</v>
      </c>
      <c r="D35" s="1" t="s">
        <v>24</v>
      </c>
      <c r="E35" s="1">
        <v>9</v>
      </c>
      <c r="F35" s="1">
        <v>2010</v>
      </c>
      <c r="G35" s="1">
        <v>1</v>
      </c>
      <c r="H35" s="1">
        <v>62.75</v>
      </c>
      <c r="I35" s="1">
        <v>62.75</v>
      </c>
      <c r="J35" s="1">
        <v>23.84</v>
      </c>
      <c r="K35" s="1">
        <v>18.82</v>
      </c>
      <c r="L35" s="1">
        <v>12.56</v>
      </c>
      <c r="M35" s="1">
        <v>5.0199999999999996</v>
      </c>
      <c r="N35" s="1">
        <v>2.5099999999999998</v>
      </c>
      <c r="O35" s="1">
        <v>1.88</v>
      </c>
      <c r="P35" s="1">
        <v>3</v>
      </c>
      <c r="Q35" s="1">
        <v>268039</v>
      </c>
      <c r="R35" s="1">
        <v>29</v>
      </c>
      <c r="S35" s="1">
        <v>38</v>
      </c>
      <c r="T35" s="1">
        <v>30</v>
      </c>
      <c r="U35" s="1">
        <v>20</v>
      </c>
    </row>
    <row r="36" spans="1:21" x14ac:dyDescent="0.5">
      <c r="A36" s="1" t="s">
        <v>70</v>
      </c>
      <c r="B36" s="1" t="s">
        <v>67</v>
      </c>
      <c r="C36" s="1" t="s">
        <v>23</v>
      </c>
      <c r="D36" s="1" t="s">
        <v>24</v>
      </c>
      <c r="E36" s="1">
        <v>9</v>
      </c>
      <c r="F36" s="1">
        <v>2013</v>
      </c>
      <c r="G36" s="1">
        <v>1</v>
      </c>
      <c r="H36" s="1">
        <v>128.72</v>
      </c>
      <c r="I36" s="1">
        <v>128.72</v>
      </c>
      <c r="J36" s="1">
        <v>54.06</v>
      </c>
      <c r="K36" s="1">
        <v>36.04</v>
      </c>
      <c r="L36" s="1">
        <v>23.17</v>
      </c>
      <c r="M36" s="1">
        <v>10.3</v>
      </c>
      <c r="N36" s="1">
        <v>5.15</v>
      </c>
      <c r="O36" s="1">
        <v>3.86</v>
      </c>
      <c r="P36" s="1">
        <v>3</v>
      </c>
      <c r="Q36" s="1">
        <v>607810</v>
      </c>
      <c r="R36" s="1">
        <v>67</v>
      </c>
      <c r="S36" s="1">
        <v>42</v>
      </c>
      <c r="T36" s="1">
        <v>28</v>
      </c>
      <c r="U36" s="1">
        <v>18</v>
      </c>
    </row>
    <row r="37" spans="1:21" x14ac:dyDescent="0.5">
      <c r="A37" s="1" t="s">
        <v>71</v>
      </c>
      <c r="B37" s="1" t="s">
        <v>67</v>
      </c>
      <c r="C37" s="1" t="s">
        <v>23</v>
      </c>
      <c r="D37" s="1" t="s">
        <v>24</v>
      </c>
      <c r="E37" s="1">
        <v>9</v>
      </c>
      <c r="F37" s="1">
        <v>2016</v>
      </c>
      <c r="G37" s="1">
        <v>1</v>
      </c>
      <c r="H37" s="1">
        <v>140.9</v>
      </c>
      <c r="I37" s="1">
        <v>140.9</v>
      </c>
      <c r="J37" s="1">
        <v>59.18</v>
      </c>
      <c r="K37" s="1">
        <v>39.450000000000003</v>
      </c>
      <c r="L37" s="1">
        <v>25.36</v>
      </c>
      <c r="M37" s="1">
        <v>11.27</v>
      </c>
      <c r="N37" s="1">
        <v>5.64</v>
      </c>
      <c r="O37" s="1">
        <v>4.2300000000000004</v>
      </c>
      <c r="P37" s="1">
        <v>3</v>
      </c>
      <c r="Q37" s="1">
        <v>665375</v>
      </c>
      <c r="R37" s="1">
        <v>73</v>
      </c>
      <c r="S37" s="1">
        <v>42</v>
      </c>
      <c r="T37" s="1">
        <v>28</v>
      </c>
      <c r="U37" s="1">
        <v>18</v>
      </c>
    </row>
    <row r="38" spans="1:21" x14ac:dyDescent="0.5">
      <c r="A38" s="1" t="s">
        <v>72</v>
      </c>
      <c r="B38" s="1" t="s">
        <v>67</v>
      </c>
      <c r="C38" s="1" t="s">
        <v>23</v>
      </c>
      <c r="D38" s="1" t="s">
        <v>24</v>
      </c>
      <c r="E38" s="1">
        <v>9</v>
      </c>
      <c r="F38" s="1">
        <v>2019</v>
      </c>
      <c r="G38" s="1">
        <v>1</v>
      </c>
      <c r="H38" s="1">
        <v>165.04</v>
      </c>
      <c r="I38" s="1">
        <v>165.04</v>
      </c>
      <c r="J38" s="1">
        <v>69.319999999999993</v>
      </c>
      <c r="K38" s="1">
        <v>46.21</v>
      </c>
      <c r="L38" s="1">
        <v>29.71</v>
      </c>
      <c r="M38" s="1">
        <v>13.2</v>
      </c>
      <c r="N38" s="1">
        <v>6.6</v>
      </c>
      <c r="O38" s="1">
        <v>4.95</v>
      </c>
      <c r="P38" s="1">
        <v>3</v>
      </c>
      <c r="Q38" s="1">
        <v>779382</v>
      </c>
      <c r="R38" s="1">
        <v>86</v>
      </c>
      <c r="S38" s="1">
        <v>42</v>
      </c>
      <c r="T38" s="1">
        <v>28</v>
      </c>
      <c r="U38" s="1">
        <v>18</v>
      </c>
    </row>
    <row r="39" spans="1:21" x14ac:dyDescent="0.5">
      <c r="A39" s="1" t="s">
        <v>73</v>
      </c>
      <c r="B39" s="1" t="s">
        <v>74</v>
      </c>
      <c r="C39" s="1" t="s">
        <v>33</v>
      </c>
      <c r="D39" s="1" t="s">
        <v>57</v>
      </c>
      <c r="E39" s="1">
        <v>5</v>
      </c>
      <c r="F39" s="1">
        <v>2010</v>
      </c>
      <c r="G39" s="1">
        <v>1</v>
      </c>
      <c r="H39" s="1">
        <v>9.3800000000000008</v>
      </c>
      <c r="I39" s="1">
        <v>9.3800000000000008</v>
      </c>
      <c r="J39" s="1">
        <v>3.56</v>
      </c>
      <c r="K39" s="1">
        <v>2.81</v>
      </c>
      <c r="L39" s="1">
        <v>1.88</v>
      </c>
      <c r="M39" s="1">
        <v>0.75</v>
      </c>
      <c r="N39" s="1">
        <v>0.38</v>
      </c>
      <c r="O39" s="1">
        <v>0.77</v>
      </c>
      <c r="P39" s="1">
        <v>8.1999999999999993</v>
      </c>
      <c r="Q39" s="1">
        <v>48716</v>
      </c>
      <c r="R39" s="1">
        <v>7</v>
      </c>
      <c r="S39" s="1">
        <v>38</v>
      </c>
      <c r="T39" s="1">
        <v>30</v>
      </c>
      <c r="U39" s="1">
        <v>20</v>
      </c>
    </row>
    <row r="40" spans="1:21" x14ac:dyDescent="0.5">
      <c r="A40" s="1" t="s">
        <v>75</v>
      </c>
      <c r="B40" s="1" t="s">
        <v>74</v>
      </c>
      <c r="C40" s="1" t="s">
        <v>33</v>
      </c>
      <c r="D40" s="1" t="s">
        <v>57</v>
      </c>
      <c r="E40" s="1">
        <v>6</v>
      </c>
      <c r="F40" s="1">
        <v>2012</v>
      </c>
      <c r="G40" s="1">
        <v>3</v>
      </c>
      <c r="H40" s="1">
        <v>11.25</v>
      </c>
      <c r="I40" s="1">
        <v>3.75</v>
      </c>
      <c r="J40" s="1">
        <v>4.28</v>
      </c>
      <c r="K40" s="1">
        <v>3.38</v>
      </c>
      <c r="L40" s="1">
        <v>2.2400000000000002</v>
      </c>
      <c r="M40" s="1">
        <v>0.9</v>
      </c>
      <c r="N40" s="1">
        <v>0.45</v>
      </c>
      <c r="O40" s="1">
        <v>0.83</v>
      </c>
      <c r="P40" s="1">
        <v>7.4</v>
      </c>
      <c r="Q40" s="1">
        <v>58568</v>
      </c>
      <c r="R40" s="1">
        <v>9</v>
      </c>
      <c r="S40" s="1">
        <v>38</v>
      </c>
      <c r="T40" s="1">
        <v>30</v>
      </c>
      <c r="U40" s="1">
        <v>20</v>
      </c>
    </row>
    <row r="41" spans="1:21" x14ac:dyDescent="0.5">
      <c r="A41" s="1" t="s">
        <v>76</v>
      </c>
      <c r="B41" s="1" t="s">
        <v>74</v>
      </c>
      <c r="C41" s="1" t="s">
        <v>33</v>
      </c>
      <c r="D41" s="1" t="s">
        <v>34</v>
      </c>
      <c r="E41" s="1">
        <v>6</v>
      </c>
      <c r="F41" s="1">
        <v>2014</v>
      </c>
      <c r="G41" s="1">
        <v>1</v>
      </c>
      <c r="H41" s="1">
        <v>11.05</v>
      </c>
      <c r="I41" s="1">
        <v>11.05</v>
      </c>
      <c r="J41" s="1">
        <v>4.2</v>
      </c>
      <c r="K41" s="1">
        <v>3.31</v>
      </c>
      <c r="L41" s="1">
        <v>2.2200000000000002</v>
      </c>
      <c r="M41" s="1">
        <v>0.88</v>
      </c>
      <c r="N41" s="1">
        <v>0.44</v>
      </c>
      <c r="O41" s="1">
        <v>0.6</v>
      </c>
      <c r="P41" s="1">
        <v>5.4</v>
      </c>
      <c r="Q41" s="1">
        <v>52000</v>
      </c>
      <c r="R41" s="1">
        <v>8</v>
      </c>
      <c r="S41" s="1">
        <v>38</v>
      </c>
      <c r="T41" s="1">
        <v>30</v>
      </c>
      <c r="U41" s="1">
        <v>20</v>
      </c>
    </row>
    <row r="42" spans="1:21" x14ac:dyDescent="0.5">
      <c r="A42" s="1" t="s">
        <v>77</v>
      </c>
      <c r="B42" s="1" t="s">
        <v>74</v>
      </c>
      <c r="C42" s="1" t="s">
        <v>33</v>
      </c>
      <c r="D42" s="1" t="s">
        <v>34</v>
      </c>
      <c r="E42" s="1">
        <v>7</v>
      </c>
      <c r="F42" s="1">
        <v>2016</v>
      </c>
      <c r="G42" s="1">
        <v>3</v>
      </c>
      <c r="H42" s="1">
        <v>14.98</v>
      </c>
      <c r="I42" s="1">
        <v>4.99</v>
      </c>
      <c r="J42" s="1">
        <v>5.69</v>
      </c>
      <c r="K42" s="1">
        <v>4.49</v>
      </c>
      <c r="L42" s="1">
        <v>3</v>
      </c>
      <c r="M42" s="1">
        <v>1.2</v>
      </c>
      <c r="N42" s="1">
        <v>0.6</v>
      </c>
      <c r="O42" s="1">
        <v>0.69</v>
      </c>
      <c r="P42" s="1">
        <v>4.5999999999999996</v>
      </c>
      <c r="Q42" s="1">
        <v>70448</v>
      </c>
      <c r="R42" s="1">
        <v>11</v>
      </c>
      <c r="S42" s="1">
        <v>38</v>
      </c>
      <c r="T42" s="1">
        <v>30</v>
      </c>
      <c r="U42" s="1">
        <v>20</v>
      </c>
    </row>
    <row r="43" spans="1:21" x14ac:dyDescent="0.5">
      <c r="A43" s="1" t="s">
        <v>78</v>
      </c>
      <c r="B43" s="1" t="s">
        <v>74</v>
      </c>
      <c r="C43" s="1" t="s">
        <v>33</v>
      </c>
      <c r="D43" s="1" t="s">
        <v>34</v>
      </c>
      <c r="E43" s="1">
        <v>7</v>
      </c>
      <c r="F43" s="1">
        <v>2018</v>
      </c>
      <c r="G43" s="1">
        <v>3</v>
      </c>
      <c r="H43" s="1">
        <v>18.54</v>
      </c>
      <c r="I43" s="1">
        <v>6.18</v>
      </c>
      <c r="J43" s="1">
        <v>7.05</v>
      </c>
      <c r="K43" s="1">
        <v>5.56</v>
      </c>
      <c r="L43" s="1">
        <v>3.71</v>
      </c>
      <c r="M43" s="1">
        <v>1.48</v>
      </c>
      <c r="N43" s="1">
        <v>0.74</v>
      </c>
      <c r="O43" s="1">
        <v>0.85</v>
      </c>
      <c r="P43" s="1">
        <v>4.5999999999999996</v>
      </c>
      <c r="Q43" s="1">
        <v>87286</v>
      </c>
      <c r="R43" s="1">
        <v>13</v>
      </c>
      <c r="S43" s="1">
        <v>38</v>
      </c>
      <c r="T43" s="1">
        <v>30</v>
      </c>
      <c r="U43" s="1">
        <v>20</v>
      </c>
    </row>
    <row r="44" spans="1:21" x14ac:dyDescent="0.5">
      <c r="A44" s="1" t="s">
        <v>79</v>
      </c>
      <c r="B44" s="1" t="s">
        <v>22</v>
      </c>
      <c r="C44" s="1" t="s">
        <v>33</v>
      </c>
      <c r="D44" s="1" t="s">
        <v>57</v>
      </c>
      <c r="E44" s="1">
        <v>7</v>
      </c>
      <c r="F44" s="1">
        <v>2020</v>
      </c>
      <c r="G44" s="1">
        <v>23</v>
      </c>
      <c r="H44" s="1">
        <v>4.68</v>
      </c>
      <c r="I44" s="1">
        <v>0.2</v>
      </c>
      <c r="J44" s="1">
        <v>1.78</v>
      </c>
      <c r="K44" s="1">
        <v>1.4</v>
      </c>
      <c r="L44" s="1">
        <v>0.94</v>
      </c>
      <c r="M44" s="1">
        <v>0.37</v>
      </c>
      <c r="N44" s="1">
        <v>0.19</v>
      </c>
      <c r="O44" s="1">
        <v>0.31</v>
      </c>
      <c r="P44" s="1">
        <v>6.6</v>
      </c>
      <c r="Q44" s="1">
        <v>24358</v>
      </c>
      <c r="R44" s="1">
        <v>4</v>
      </c>
      <c r="S44" s="1">
        <v>38</v>
      </c>
      <c r="T44" s="1">
        <v>30</v>
      </c>
      <c r="U44" s="1">
        <v>20</v>
      </c>
    </row>
    <row r="45" spans="1:21" x14ac:dyDescent="0.5">
      <c r="A45" s="1" t="s">
        <v>80</v>
      </c>
      <c r="B45" s="1" t="s">
        <v>22</v>
      </c>
      <c r="C45" s="1" t="s">
        <v>33</v>
      </c>
      <c r="D45" s="1" t="s">
        <v>57</v>
      </c>
      <c r="E45" s="1">
        <v>7</v>
      </c>
      <c r="F45" s="1">
        <v>2021</v>
      </c>
      <c r="G45" s="1">
        <v>8</v>
      </c>
      <c r="H45" s="1">
        <v>5.84</v>
      </c>
      <c r="I45" s="1">
        <v>0.73</v>
      </c>
      <c r="J45" s="1">
        <v>2.2200000000000002</v>
      </c>
      <c r="K45" s="1">
        <v>1.75</v>
      </c>
      <c r="L45" s="1">
        <v>1.17</v>
      </c>
      <c r="M45" s="1">
        <v>0.47</v>
      </c>
      <c r="N45" s="1">
        <v>0.23</v>
      </c>
      <c r="O45" s="1">
        <v>0.39</v>
      </c>
      <c r="P45" s="1">
        <v>6.6</v>
      </c>
      <c r="Q45" s="1">
        <v>30379</v>
      </c>
      <c r="R45" s="1">
        <v>5</v>
      </c>
      <c r="S45" s="1">
        <v>38</v>
      </c>
      <c r="T45" s="1">
        <v>30</v>
      </c>
      <c r="U45" s="1">
        <v>20</v>
      </c>
    </row>
    <row r="46" spans="1:21" x14ac:dyDescent="0.5">
      <c r="A46" s="1" t="s">
        <v>81</v>
      </c>
      <c r="B46" s="1" t="s">
        <v>32</v>
      </c>
      <c r="C46" s="1" t="s">
        <v>33</v>
      </c>
      <c r="D46" s="1" t="s">
        <v>57</v>
      </c>
      <c r="E46" s="1">
        <v>7</v>
      </c>
      <c r="F46" s="1">
        <v>2022</v>
      </c>
      <c r="G46" s="1">
        <v>24</v>
      </c>
      <c r="H46" s="1">
        <v>6.96</v>
      </c>
      <c r="I46" s="1">
        <v>0.28999999999999998</v>
      </c>
      <c r="J46" s="1">
        <v>2.64</v>
      </c>
      <c r="K46" s="1">
        <v>2.09</v>
      </c>
      <c r="L46" s="1">
        <v>1.39</v>
      </c>
      <c r="M46" s="1">
        <v>0.56000000000000005</v>
      </c>
      <c r="N46" s="1">
        <v>0.28000000000000003</v>
      </c>
      <c r="O46" s="1">
        <v>0.46</v>
      </c>
      <c r="P46" s="1">
        <v>6.6</v>
      </c>
      <c r="Q46" s="1">
        <v>36126</v>
      </c>
      <c r="R46" s="1">
        <v>6</v>
      </c>
      <c r="S46" s="1">
        <v>38</v>
      </c>
      <c r="T46" s="1">
        <v>30</v>
      </c>
      <c r="U46" s="1">
        <v>20</v>
      </c>
    </row>
    <row r="47" spans="1:21" x14ac:dyDescent="0.5">
      <c r="A47" s="1" t="s">
        <v>82</v>
      </c>
      <c r="B47" s="1" t="s">
        <v>32</v>
      </c>
      <c r="C47" s="1" t="s">
        <v>33</v>
      </c>
      <c r="D47" s="1" t="s">
        <v>34</v>
      </c>
      <c r="E47" s="1">
        <v>8</v>
      </c>
      <c r="F47" s="1">
        <v>2023</v>
      </c>
      <c r="G47" s="1">
        <v>19</v>
      </c>
      <c r="H47" s="1">
        <v>6.03</v>
      </c>
      <c r="I47" s="1">
        <v>0.32</v>
      </c>
      <c r="J47" s="1">
        <v>2.29</v>
      </c>
      <c r="K47" s="1">
        <v>1.81</v>
      </c>
      <c r="L47" s="1">
        <v>1.21</v>
      </c>
      <c r="M47" s="1">
        <v>0.48</v>
      </c>
      <c r="N47" s="1">
        <v>0.24</v>
      </c>
      <c r="O47" s="1">
        <v>0.23</v>
      </c>
      <c r="P47" s="1">
        <v>3.8</v>
      </c>
      <c r="Q47" s="1">
        <v>28352</v>
      </c>
      <c r="R47" s="1">
        <v>4</v>
      </c>
      <c r="S47" s="1">
        <v>38</v>
      </c>
      <c r="T47" s="1">
        <v>30</v>
      </c>
      <c r="U47" s="1">
        <v>20</v>
      </c>
    </row>
    <row r="48" spans="1:21" x14ac:dyDescent="0.5">
      <c r="A48" s="1" t="s">
        <v>83</v>
      </c>
      <c r="B48" s="1" t="s">
        <v>32</v>
      </c>
      <c r="C48" s="1" t="s">
        <v>33</v>
      </c>
      <c r="D48" s="1" t="s">
        <v>34</v>
      </c>
      <c r="E48" s="1">
        <v>8</v>
      </c>
      <c r="F48" s="1">
        <v>2024</v>
      </c>
      <c r="G48" s="1">
        <v>7</v>
      </c>
      <c r="H48" s="1">
        <v>7.74</v>
      </c>
      <c r="I48" s="1">
        <v>1.1100000000000001</v>
      </c>
      <c r="J48" s="1">
        <v>2.94</v>
      </c>
      <c r="K48" s="1">
        <v>2.3199999999999998</v>
      </c>
      <c r="L48" s="1">
        <v>1.55</v>
      </c>
      <c r="M48" s="1">
        <v>0.62</v>
      </c>
      <c r="N48" s="1">
        <v>0.31</v>
      </c>
      <c r="O48" s="1">
        <v>0.28999999999999998</v>
      </c>
      <c r="P48" s="1">
        <v>3.8</v>
      </c>
      <c r="Q48" s="1">
        <v>36400</v>
      </c>
      <c r="R48" s="1">
        <v>6</v>
      </c>
      <c r="S48" s="1">
        <v>38</v>
      </c>
      <c r="T48" s="1">
        <v>30</v>
      </c>
      <c r="U48" s="1">
        <v>20</v>
      </c>
    </row>
    <row r="49" spans="1:21" x14ac:dyDescent="0.5">
      <c r="A49" s="1" t="s">
        <v>84</v>
      </c>
      <c r="B49" s="1" t="s">
        <v>56</v>
      </c>
      <c r="C49" s="1" t="s">
        <v>85</v>
      </c>
      <c r="D49" s="1" t="s">
        <v>57</v>
      </c>
      <c r="E49" s="1">
        <v>7</v>
      </c>
      <c r="F49" s="1">
        <v>2009</v>
      </c>
      <c r="G49" s="1">
        <v>1</v>
      </c>
      <c r="H49" s="1">
        <v>45.69</v>
      </c>
      <c r="I49" s="1">
        <v>45.69</v>
      </c>
      <c r="J49" s="1">
        <v>20.56</v>
      </c>
      <c r="K49" s="1">
        <v>11.88</v>
      </c>
      <c r="L49" s="1">
        <v>7.76</v>
      </c>
      <c r="M49" s="1">
        <v>3.66</v>
      </c>
      <c r="N49" s="1">
        <v>1.83</v>
      </c>
      <c r="O49" s="1">
        <v>3.02</v>
      </c>
      <c r="P49" s="1">
        <v>6.6</v>
      </c>
      <c r="Q49" s="1">
        <v>281347</v>
      </c>
      <c r="R49" s="1">
        <v>36</v>
      </c>
      <c r="S49" s="1">
        <v>45</v>
      </c>
      <c r="T49" s="1">
        <v>26</v>
      </c>
      <c r="U49" s="1">
        <v>17</v>
      </c>
    </row>
    <row r="50" spans="1:21" x14ac:dyDescent="0.5">
      <c r="A50" s="1" t="s">
        <v>86</v>
      </c>
      <c r="B50" s="1" t="s">
        <v>56</v>
      </c>
      <c r="C50" s="1" t="s">
        <v>85</v>
      </c>
      <c r="D50" s="1" t="s">
        <v>57</v>
      </c>
      <c r="E50" s="1">
        <v>7</v>
      </c>
      <c r="F50" s="1">
        <v>2013</v>
      </c>
      <c r="G50" s="1">
        <v>1</v>
      </c>
      <c r="H50" s="1">
        <v>58.73</v>
      </c>
      <c r="I50" s="1">
        <v>58.73</v>
      </c>
      <c r="J50" s="1">
        <v>26.43</v>
      </c>
      <c r="K50" s="1">
        <v>15.27</v>
      </c>
      <c r="L50" s="1">
        <v>9.98</v>
      </c>
      <c r="M50" s="1">
        <v>4.7</v>
      </c>
      <c r="N50" s="1">
        <v>2.35</v>
      </c>
      <c r="O50" s="1">
        <v>3.88</v>
      </c>
      <c r="P50" s="1">
        <v>6.6</v>
      </c>
      <c r="Q50" s="1">
        <v>361674</v>
      </c>
      <c r="R50" s="1">
        <v>46</v>
      </c>
      <c r="S50" s="1">
        <v>45</v>
      </c>
      <c r="T50" s="1">
        <v>26</v>
      </c>
      <c r="U50" s="1">
        <v>17</v>
      </c>
    </row>
    <row r="51" spans="1:21" x14ac:dyDescent="0.5">
      <c r="A51" s="1" t="s">
        <v>87</v>
      </c>
      <c r="B51" s="1" t="s">
        <v>56</v>
      </c>
      <c r="C51" s="1" t="s">
        <v>85</v>
      </c>
      <c r="D51" s="1" t="s">
        <v>34</v>
      </c>
      <c r="E51" s="1">
        <v>8</v>
      </c>
      <c r="F51" s="1">
        <v>2018</v>
      </c>
      <c r="G51" s="1">
        <v>1</v>
      </c>
      <c r="H51" s="1">
        <v>55.06</v>
      </c>
      <c r="I51" s="1">
        <v>55.06</v>
      </c>
      <c r="J51" s="1">
        <v>24.78</v>
      </c>
      <c r="K51" s="1">
        <v>14.32</v>
      </c>
      <c r="L51" s="1">
        <v>9.36</v>
      </c>
      <c r="M51" s="1">
        <v>4.4000000000000004</v>
      </c>
      <c r="N51" s="1">
        <v>2.2000000000000002</v>
      </c>
      <c r="O51" s="1">
        <v>2.09</v>
      </c>
      <c r="P51" s="1">
        <v>3.8</v>
      </c>
      <c r="Q51" s="1">
        <v>306800</v>
      </c>
      <c r="R51" s="1">
        <v>39</v>
      </c>
      <c r="S51" s="1">
        <v>45</v>
      </c>
      <c r="T51" s="1">
        <v>26</v>
      </c>
      <c r="U51" s="1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8BC93-B7E1-429A-89C2-BAB28269ABD9}">
  <dimension ref="A1:L501"/>
  <sheetViews>
    <sheetView tabSelected="1" workbookViewId="0">
      <pane ySplit="1" topLeftCell="A2" activePane="bottomLeft" state="frozen"/>
      <selection pane="bottomLeft" activeCell="E23" sqref="E23"/>
    </sheetView>
  </sheetViews>
  <sheetFormatPr defaultRowHeight="14.35" x14ac:dyDescent="0.5"/>
  <cols>
    <col min="1" max="1" width="12.52734375" bestFit="1" customWidth="1"/>
    <col min="2" max="2" width="16.3515625" bestFit="1" customWidth="1"/>
    <col min="5" max="5" width="22.87890625" bestFit="1" customWidth="1"/>
    <col min="6" max="7" width="17.8203125" bestFit="1" customWidth="1"/>
    <col min="8" max="8" width="28.76171875" bestFit="1" customWidth="1"/>
    <col min="9" max="10" width="29.64453125" bestFit="1" customWidth="1"/>
    <col min="11" max="11" width="19.64453125" bestFit="1" customWidth="1"/>
    <col min="12" max="12" width="10.234375" bestFit="1" customWidth="1"/>
  </cols>
  <sheetData>
    <row r="1" spans="1:12" x14ac:dyDescent="0.5">
      <c r="A1" t="s">
        <v>0</v>
      </c>
      <c r="B1" t="s">
        <v>1</v>
      </c>
      <c r="C1" t="s">
        <v>2</v>
      </c>
      <c r="D1" t="s">
        <v>129</v>
      </c>
      <c r="E1" t="s">
        <v>128</v>
      </c>
      <c r="F1" t="s">
        <v>127</v>
      </c>
      <c r="G1" t="s">
        <v>126</v>
      </c>
      <c r="H1" t="s">
        <v>125</v>
      </c>
      <c r="I1" t="s">
        <v>124</v>
      </c>
      <c r="J1" t="s">
        <v>123</v>
      </c>
      <c r="K1" t="s">
        <v>10</v>
      </c>
      <c r="L1" t="s">
        <v>11</v>
      </c>
    </row>
    <row r="2" spans="1:12" x14ac:dyDescent="0.5">
      <c r="A2" t="s">
        <v>21</v>
      </c>
      <c r="B2" t="s">
        <v>22</v>
      </c>
      <c r="C2" t="s">
        <v>23</v>
      </c>
      <c r="D2">
        <v>1.1000000000000001</v>
      </c>
      <c r="E2" t="s">
        <v>122</v>
      </c>
      <c r="F2">
        <v>333</v>
      </c>
      <c r="G2">
        <v>0</v>
      </c>
      <c r="H2">
        <v>22.3</v>
      </c>
      <c r="I2">
        <v>13.4</v>
      </c>
      <c r="J2">
        <f>SUM(H2:I2)</f>
        <v>35.700000000000003</v>
      </c>
      <c r="K2">
        <v>1998</v>
      </c>
      <c r="L2">
        <v>2005</v>
      </c>
    </row>
    <row r="3" spans="1:12" x14ac:dyDescent="0.5">
      <c r="A3" t="s">
        <v>21</v>
      </c>
      <c r="B3" t="s">
        <v>22</v>
      </c>
      <c r="C3" t="s">
        <v>23</v>
      </c>
      <c r="D3">
        <v>1.2</v>
      </c>
      <c r="E3" t="s">
        <v>121</v>
      </c>
      <c r="F3">
        <v>111</v>
      </c>
      <c r="G3">
        <v>246</v>
      </c>
      <c r="H3">
        <v>13.94</v>
      </c>
      <c r="I3">
        <v>6.7</v>
      </c>
      <c r="J3">
        <f t="shared" ref="J3:J66" si="0">SUM(H3:I3)</f>
        <v>20.64</v>
      </c>
      <c r="K3">
        <v>1998</v>
      </c>
      <c r="L3">
        <v>2005</v>
      </c>
    </row>
    <row r="4" spans="1:12" x14ac:dyDescent="0.5">
      <c r="A4" t="s">
        <v>21</v>
      </c>
      <c r="B4" t="s">
        <v>22</v>
      </c>
      <c r="C4" t="s">
        <v>23</v>
      </c>
      <c r="D4">
        <v>1.3</v>
      </c>
      <c r="E4" t="s">
        <v>120</v>
      </c>
      <c r="F4">
        <v>222</v>
      </c>
      <c r="G4">
        <v>3690</v>
      </c>
      <c r="H4">
        <v>27.88</v>
      </c>
      <c r="I4">
        <v>14.51</v>
      </c>
      <c r="J4">
        <f t="shared" si="0"/>
        <v>42.39</v>
      </c>
      <c r="K4">
        <v>1998</v>
      </c>
      <c r="L4">
        <v>2005</v>
      </c>
    </row>
    <row r="5" spans="1:12" x14ac:dyDescent="0.5">
      <c r="A5" t="s">
        <v>21</v>
      </c>
      <c r="B5" t="s">
        <v>22</v>
      </c>
      <c r="C5" t="s">
        <v>23</v>
      </c>
      <c r="D5">
        <v>1.4</v>
      </c>
      <c r="E5" t="s">
        <v>119</v>
      </c>
      <c r="F5">
        <v>185</v>
      </c>
      <c r="G5">
        <v>82</v>
      </c>
      <c r="H5">
        <v>19.510000000000002</v>
      </c>
      <c r="I5">
        <v>10.050000000000001</v>
      </c>
      <c r="J5">
        <f t="shared" si="0"/>
        <v>29.560000000000002</v>
      </c>
      <c r="K5">
        <v>1998</v>
      </c>
      <c r="L5">
        <v>2005</v>
      </c>
    </row>
    <row r="6" spans="1:12" x14ac:dyDescent="0.5">
      <c r="A6" t="s">
        <v>21</v>
      </c>
      <c r="B6" t="s">
        <v>22</v>
      </c>
      <c r="C6" t="s">
        <v>23</v>
      </c>
      <c r="D6">
        <v>1.5</v>
      </c>
      <c r="E6" t="s">
        <v>118</v>
      </c>
      <c r="F6">
        <v>148</v>
      </c>
      <c r="G6">
        <v>410</v>
      </c>
      <c r="H6">
        <v>25.09</v>
      </c>
      <c r="I6">
        <v>8.93</v>
      </c>
      <c r="J6">
        <f t="shared" si="0"/>
        <v>34.019999999999996</v>
      </c>
      <c r="K6">
        <v>1998</v>
      </c>
      <c r="L6">
        <v>2005</v>
      </c>
    </row>
    <row r="7" spans="1:12" x14ac:dyDescent="0.5">
      <c r="A7" t="s">
        <v>21</v>
      </c>
      <c r="B7" t="s">
        <v>22</v>
      </c>
      <c r="C7" t="s">
        <v>23</v>
      </c>
      <c r="D7">
        <v>1.6</v>
      </c>
      <c r="E7" t="s">
        <v>117</v>
      </c>
      <c r="F7">
        <v>74</v>
      </c>
      <c r="G7">
        <v>492</v>
      </c>
      <c r="H7">
        <v>22.3</v>
      </c>
      <c r="I7">
        <v>7.82</v>
      </c>
      <c r="J7">
        <f t="shared" si="0"/>
        <v>30.12</v>
      </c>
      <c r="K7">
        <v>1998</v>
      </c>
      <c r="L7">
        <v>2005</v>
      </c>
    </row>
    <row r="8" spans="1:12" x14ac:dyDescent="0.5">
      <c r="A8" t="s">
        <v>21</v>
      </c>
      <c r="B8" t="s">
        <v>22</v>
      </c>
      <c r="C8" t="s">
        <v>23</v>
      </c>
      <c r="D8">
        <v>1.7</v>
      </c>
      <c r="E8" t="s">
        <v>116</v>
      </c>
      <c r="F8">
        <v>129.5</v>
      </c>
      <c r="G8">
        <v>1230</v>
      </c>
      <c r="H8">
        <v>25.09</v>
      </c>
      <c r="I8">
        <v>11.17</v>
      </c>
      <c r="J8">
        <f t="shared" si="0"/>
        <v>36.26</v>
      </c>
      <c r="K8">
        <v>1998</v>
      </c>
      <c r="L8">
        <v>2005</v>
      </c>
    </row>
    <row r="9" spans="1:12" x14ac:dyDescent="0.5">
      <c r="A9" t="s">
        <v>21</v>
      </c>
      <c r="B9" t="s">
        <v>22</v>
      </c>
      <c r="C9" t="s">
        <v>23</v>
      </c>
      <c r="D9">
        <v>1.8</v>
      </c>
      <c r="E9" t="s">
        <v>115</v>
      </c>
      <c r="F9">
        <v>370</v>
      </c>
      <c r="G9">
        <v>1476</v>
      </c>
      <c r="H9">
        <v>58.88</v>
      </c>
      <c r="I9">
        <v>19.29</v>
      </c>
      <c r="J9">
        <f t="shared" si="0"/>
        <v>78.17</v>
      </c>
      <c r="K9">
        <v>1998</v>
      </c>
      <c r="L9">
        <v>2005</v>
      </c>
    </row>
    <row r="10" spans="1:12" x14ac:dyDescent="0.5">
      <c r="A10" t="s">
        <v>21</v>
      </c>
      <c r="B10" t="s">
        <v>22</v>
      </c>
      <c r="C10" t="s">
        <v>23</v>
      </c>
      <c r="D10">
        <v>1.9</v>
      </c>
      <c r="E10" t="s">
        <v>114</v>
      </c>
      <c r="F10">
        <v>0</v>
      </c>
      <c r="G10">
        <v>0</v>
      </c>
      <c r="H10">
        <v>35.06</v>
      </c>
      <c r="I10">
        <v>7.02</v>
      </c>
      <c r="J10">
        <f t="shared" si="0"/>
        <v>42.08</v>
      </c>
      <c r="K10">
        <v>1998</v>
      </c>
      <c r="L10">
        <v>2005</v>
      </c>
    </row>
    <row r="11" spans="1:12" x14ac:dyDescent="0.5">
      <c r="A11" t="s">
        <v>21</v>
      </c>
      <c r="B11" t="s">
        <v>22</v>
      </c>
      <c r="C11" t="s">
        <v>23</v>
      </c>
      <c r="D11">
        <v>1.1000000000000001</v>
      </c>
      <c r="E11" t="s">
        <v>113</v>
      </c>
      <c r="F11">
        <v>0</v>
      </c>
      <c r="G11">
        <v>0</v>
      </c>
      <c r="H11">
        <v>27.88</v>
      </c>
      <c r="I11">
        <v>12.28</v>
      </c>
      <c r="J11">
        <f t="shared" si="0"/>
        <v>40.159999999999997</v>
      </c>
      <c r="K11">
        <v>1998</v>
      </c>
      <c r="L11">
        <v>2005</v>
      </c>
    </row>
    <row r="12" spans="1:12" x14ac:dyDescent="0.5">
      <c r="A12" t="s">
        <v>26</v>
      </c>
      <c r="B12" t="s">
        <v>22</v>
      </c>
      <c r="C12" t="s">
        <v>23</v>
      </c>
      <c r="D12">
        <v>1.1000000000000001</v>
      </c>
      <c r="E12" t="s">
        <v>122</v>
      </c>
      <c r="F12">
        <v>378</v>
      </c>
      <c r="G12">
        <v>0</v>
      </c>
      <c r="H12">
        <v>24.77</v>
      </c>
      <c r="I12">
        <v>14.94</v>
      </c>
      <c r="J12">
        <f t="shared" si="0"/>
        <v>39.71</v>
      </c>
      <c r="K12">
        <v>2001</v>
      </c>
      <c r="L12">
        <v>2008</v>
      </c>
    </row>
    <row r="13" spans="1:12" x14ac:dyDescent="0.5">
      <c r="A13" t="s">
        <v>26</v>
      </c>
      <c r="B13" t="s">
        <v>22</v>
      </c>
      <c r="C13" t="s">
        <v>23</v>
      </c>
      <c r="D13">
        <v>1.2</v>
      </c>
      <c r="E13" t="s">
        <v>121</v>
      </c>
      <c r="F13">
        <v>126</v>
      </c>
      <c r="G13">
        <v>294</v>
      </c>
      <c r="H13">
        <v>15.48</v>
      </c>
      <c r="I13">
        <v>7.47</v>
      </c>
      <c r="J13">
        <f t="shared" si="0"/>
        <v>22.95</v>
      </c>
      <c r="K13">
        <v>2001</v>
      </c>
      <c r="L13">
        <v>2008</v>
      </c>
    </row>
    <row r="14" spans="1:12" x14ac:dyDescent="0.5">
      <c r="A14" t="s">
        <v>26</v>
      </c>
      <c r="B14" t="s">
        <v>22</v>
      </c>
      <c r="C14" t="s">
        <v>23</v>
      </c>
      <c r="D14">
        <v>1.3</v>
      </c>
      <c r="E14" t="s">
        <v>120</v>
      </c>
      <c r="F14">
        <v>252</v>
      </c>
      <c r="G14">
        <v>4410</v>
      </c>
      <c r="H14">
        <v>30.96</v>
      </c>
      <c r="I14">
        <v>16.18</v>
      </c>
      <c r="J14">
        <f t="shared" si="0"/>
        <v>47.14</v>
      </c>
      <c r="K14">
        <v>2001</v>
      </c>
      <c r="L14">
        <v>2008</v>
      </c>
    </row>
    <row r="15" spans="1:12" x14ac:dyDescent="0.5">
      <c r="A15" t="s">
        <v>26</v>
      </c>
      <c r="B15" t="s">
        <v>22</v>
      </c>
      <c r="C15" t="s">
        <v>23</v>
      </c>
      <c r="D15">
        <v>1.4</v>
      </c>
      <c r="E15" t="s">
        <v>119</v>
      </c>
      <c r="F15">
        <v>210</v>
      </c>
      <c r="G15">
        <v>98</v>
      </c>
      <c r="H15">
        <v>21.67</v>
      </c>
      <c r="I15">
        <v>11.2</v>
      </c>
      <c r="J15">
        <f t="shared" si="0"/>
        <v>32.870000000000005</v>
      </c>
      <c r="K15">
        <v>2001</v>
      </c>
      <c r="L15">
        <v>2008</v>
      </c>
    </row>
    <row r="16" spans="1:12" x14ac:dyDescent="0.5">
      <c r="A16" t="s">
        <v>26</v>
      </c>
      <c r="B16" t="s">
        <v>22</v>
      </c>
      <c r="C16" t="s">
        <v>23</v>
      </c>
      <c r="D16">
        <v>1.5</v>
      </c>
      <c r="E16" t="s">
        <v>118</v>
      </c>
      <c r="F16">
        <v>168</v>
      </c>
      <c r="G16">
        <v>490</v>
      </c>
      <c r="H16">
        <v>27.87</v>
      </c>
      <c r="I16">
        <v>9.9600000000000009</v>
      </c>
      <c r="J16">
        <f t="shared" si="0"/>
        <v>37.83</v>
      </c>
      <c r="K16">
        <v>2001</v>
      </c>
      <c r="L16">
        <v>2008</v>
      </c>
    </row>
    <row r="17" spans="1:12" x14ac:dyDescent="0.5">
      <c r="A17" t="s">
        <v>26</v>
      </c>
      <c r="B17" t="s">
        <v>22</v>
      </c>
      <c r="C17" t="s">
        <v>23</v>
      </c>
      <c r="D17">
        <v>1.6</v>
      </c>
      <c r="E17" t="s">
        <v>117</v>
      </c>
      <c r="F17">
        <v>84</v>
      </c>
      <c r="G17">
        <v>588</v>
      </c>
      <c r="H17">
        <v>24.77</v>
      </c>
      <c r="I17">
        <v>8.7100000000000009</v>
      </c>
      <c r="J17">
        <f t="shared" si="0"/>
        <v>33.480000000000004</v>
      </c>
      <c r="K17">
        <v>2001</v>
      </c>
      <c r="L17">
        <v>2008</v>
      </c>
    </row>
    <row r="18" spans="1:12" x14ac:dyDescent="0.5">
      <c r="A18" t="s">
        <v>26</v>
      </c>
      <c r="B18" t="s">
        <v>22</v>
      </c>
      <c r="C18" t="s">
        <v>23</v>
      </c>
      <c r="D18">
        <v>1.7</v>
      </c>
      <c r="E18" t="s">
        <v>116</v>
      </c>
      <c r="F18">
        <v>147</v>
      </c>
      <c r="G18">
        <v>1470</v>
      </c>
      <c r="H18">
        <v>27.87</v>
      </c>
      <c r="I18">
        <v>12.45</v>
      </c>
      <c r="J18">
        <f t="shared" si="0"/>
        <v>40.32</v>
      </c>
      <c r="K18">
        <v>2001</v>
      </c>
      <c r="L18">
        <v>2008</v>
      </c>
    </row>
    <row r="19" spans="1:12" x14ac:dyDescent="0.5">
      <c r="A19" t="s">
        <v>26</v>
      </c>
      <c r="B19" t="s">
        <v>22</v>
      </c>
      <c r="C19" t="s">
        <v>23</v>
      </c>
      <c r="D19">
        <v>1.8</v>
      </c>
      <c r="E19" t="s">
        <v>115</v>
      </c>
      <c r="F19">
        <v>420</v>
      </c>
      <c r="G19">
        <v>1764</v>
      </c>
      <c r="H19">
        <v>68.12</v>
      </c>
      <c r="I19">
        <v>22.41</v>
      </c>
      <c r="J19">
        <f t="shared" si="0"/>
        <v>90.53</v>
      </c>
      <c r="K19">
        <v>2001</v>
      </c>
      <c r="L19">
        <v>2008</v>
      </c>
    </row>
    <row r="20" spans="1:12" x14ac:dyDescent="0.5">
      <c r="A20" t="s">
        <v>26</v>
      </c>
      <c r="B20" t="s">
        <v>22</v>
      </c>
      <c r="C20" t="s">
        <v>23</v>
      </c>
      <c r="D20">
        <v>1.9</v>
      </c>
      <c r="E20" t="s">
        <v>114</v>
      </c>
      <c r="F20">
        <v>0</v>
      </c>
      <c r="G20">
        <v>0</v>
      </c>
      <c r="H20">
        <v>40.28</v>
      </c>
      <c r="I20">
        <v>8.1</v>
      </c>
      <c r="J20">
        <f t="shared" si="0"/>
        <v>48.38</v>
      </c>
      <c r="K20">
        <v>2001</v>
      </c>
      <c r="L20">
        <v>2008</v>
      </c>
    </row>
    <row r="21" spans="1:12" x14ac:dyDescent="0.5">
      <c r="A21" t="s">
        <v>26</v>
      </c>
      <c r="B21" t="s">
        <v>22</v>
      </c>
      <c r="C21" t="s">
        <v>23</v>
      </c>
      <c r="D21">
        <v>1.1000000000000001</v>
      </c>
      <c r="E21" t="s">
        <v>113</v>
      </c>
      <c r="F21">
        <v>0</v>
      </c>
      <c r="G21">
        <v>0</v>
      </c>
      <c r="H21">
        <v>30.97</v>
      </c>
      <c r="I21">
        <v>13.68</v>
      </c>
      <c r="J21">
        <f t="shared" si="0"/>
        <v>44.65</v>
      </c>
      <c r="K21">
        <v>2001</v>
      </c>
      <c r="L21">
        <v>2008</v>
      </c>
    </row>
    <row r="22" spans="1:12" x14ac:dyDescent="0.5">
      <c r="A22" t="s">
        <v>27</v>
      </c>
      <c r="B22" t="s">
        <v>22</v>
      </c>
      <c r="C22" t="s">
        <v>23</v>
      </c>
      <c r="D22">
        <v>1.1000000000000001</v>
      </c>
      <c r="E22" t="s">
        <v>122</v>
      </c>
      <c r="F22">
        <v>441</v>
      </c>
      <c r="G22">
        <v>0</v>
      </c>
      <c r="H22">
        <v>29.1</v>
      </c>
      <c r="I22">
        <v>17.579999999999998</v>
      </c>
      <c r="J22">
        <f t="shared" si="0"/>
        <v>46.68</v>
      </c>
      <c r="K22">
        <v>2004</v>
      </c>
      <c r="L22">
        <v>2011</v>
      </c>
    </row>
    <row r="23" spans="1:12" x14ac:dyDescent="0.5">
      <c r="A23" t="s">
        <v>27</v>
      </c>
      <c r="B23" t="s">
        <v>22</v>
      </c>
      <c r="C23" t="s">
        <v>23</v>
      </c>
      <c r="D23">
        <v>1.2</v>
      </c>
      <c r="E23" t="s">
        <v>121</v>
      </c>
      <c r="F23">
        <v>147</v>
      </c>
      <c r="G23">
        <v>336</v>
      </c>
      <c r="H23">
        <v>18.190000000000001</v>
      </c>
      <c r="I23">
        <v>8.7899999999999991</v>
      </c>
      <c r="J23">
        <f t="shared" si="0"/>
        <v>26.98</v>
      </c>
      <c r="K23">
        <v>2004</v>
      </c>
      <c r="L23">
        <v>2011</v>
      </c>
    </row>
    <row r="24" spans="1:12" x14ac:dyDescent="0.5">
      <c r="A24" t="s">
        <v>27</v>
      </c>
      <c r="B24" t="s">
        <v>22</v>
      </c>
      <c r="C24" t="s">
        <v>23</v>
      </c>
      <c r="D24">
        <v>1.3</v>
      </c>
      <c r="E24" t="s">
        <v>120</v>
      </c>
      <c r="F24">
        <v>294</v>
      </c>
      <c r="G24">
        <v>5040</v>
      </c>
      <c r="H24">
        <v>36.380000000000003</v>
      </c>
      <c r="I24">
        <v>19.04</v>
      </c>
      <c r="J24">
        <f t="shared" si="0"/>
        <v>55.42</v>
      </c>
      <c r="K24">
        <v>2004</v>
      </c>
      <c r="L24">
        <v>2011</v>
      </c>
    </row>
    <row r="25" spans="1:12" x14ac:dyDescent="0.5">
      <c r="A25" t="s">
        <v>27</v>
      </c>
      <c r="B25" t="s">
        <v>22</v>
      </c>
      <c r="C25" t="s">
        <v>23</v>
      </c>
      <c r="D25">
        <v>1.4</v>
      </c>
      <c r="E25" t="s">
        <v>119</v>
      </c>
      <c r="F25">
        <v>245</v>
      </c>
      <c r="G25">
        <v>112</v>
      </c>
      <c r="H25">
        <v>25.46</v>
      </c>
      <c r="I25">
        <v>13.18</v>
      </c>
      <c r="J25">
        <f t="shared" si="0"/>
        <v>38.64</v>
      </c>
      <c r="K25">
        <v>2004</v>
      </c>
      <c r="L25">
        <v>2011</v>
      </c>
    </row>
    <row r="26" spans="1:12" x14ac:dyDescent="0.5">
      <c r="A26" t="s">
        <v>27</v>
      </c>
      <c r="B26" t="s">
        <v>22</v>
      </c>
      <c r="C26" t="s">
        <v>23</v>
      </c>
      <c r="D26">
        <v>1.5</v>
      </c>
      <c r="E26" t="s">
        <v>118</v>
      </c>
      <c r="F26">
        <v>196</v>
      </c>
      <c r="G26">
        <v>560</v>
      </c>
      <c r="H26">
        <v>32.74</v>
      </c>
      <c r="I26">
        <v>11.72</v>
      </c>
      <c r="J26">
        <f t="shared" si="0"/>
        <v>44.46</v>
      </c>
      <c r="K26">
        <v>2004</v>
      </c>
      <c r="L26">
        <v>2011</v>
      </c>
    </row>
    <row r="27" spans="1:12" x14ac:dyDescent="0.5">
      <c r="A27" t="s">
        <v>27</v>
      </c>
      <c r="B27" t="s">
        <v>22</v>
      </c>
      <c r="C27" t="s">
        <v>23</v>
      </c>
      <c r="D27">
        <v>1.6</v>
      </c>
      <c r="E27" t="s">
        <v>117</v>
      </c>
      <c r="F27">
        <v>98</v>
      </c>
      <c r="G27">
        <v>672</v>
      </c>
      <c r="H27">
        <v>29.1</v>
      </c>
      <c r="I27">
        <v>10.25</v>
      </c>
      <c r="J27">
        <f t="shared" si="0"/>
        <v>39.35</v>
      </c>
      <c r="K27">
        <v>2004</v>
      </c>
      <c r="L27">
        <v>2011</v>
      </c>
    </row>
    <row r="28" spans="1:12" x14ac:dyDescent="0.5">
      <c r="A28" t="s">
        <v>27</v>
      </c>
      <c r="B28" t="s">
        <v>22</v>
      </c>
      <c r="C28" t="s">
        <v>23</v>
      </c>
      <c r="D28">
        <v>1.7</v>
      </c>
      <c r="E28" t="s">
        <v>116</v>
      </c>
      <c r="F28">
        <v>171.5</v>
      </c>
      <c r="G28">
        <v>1680</v>
      </c>
      <c r="H28">
        <v>32.74</v>
      </c>
      <c r="I28">
        <v>14.65</v>
      </c>
      <c r="J28">
        <f t="shared" si="0"/>
        <v>47.39</v>
      </c>
      <c r="K28">
        <v>2004</v>
      </c>
      <c r="L28">
        <v>2011</v>
      </c>
    </row>
    <row r="29" spans="1:12" x14ac:dyDescent="0.5">
      <c r="A29" t="s">
        <v>27</v>
      </c>
      <c r="B29" t="s">
        <v>22</v>
      </c>
      <c r="C29" t="s">
        <v>23</v>
      </c>
      <c r="D29">
        <v>1.8</v>
      </c>
      <c r="E29" t="s">
        <v>115</v>
      </c>
      <c r="F29">
        <v>490</v>
      </c>
      <c r="G29">
        <v>2016</v>
      </c>
      <c r="H29">
        <v>80.03</v>
      </c>
      <c r="I29">
        <v>26.37</v>
      </c>
      <c r="J29">
        <f t="shared" si="0"/>
        <v>106.4</v>
      </c>
      <c r="K29">
        <v>2004</v>
      </c>
      <c r="L29">
        <v>2011</v>
      </c>
    </row>
    <row r="30" spans="1:12" x14ac:dyDescent="0.5">
      <c r="A30" t="s">
        <v>27</v>
      </c>
      <c r="B30" t="s">
        <v>22</v>
      </c>
      <c r="C30" t="s">
        <v>23</v>
      </c>
      <c r="D30">
        <v>1.9</v>
      </c>
      <c r="E30" t="s">
        <v>114</v>
      </c>
      <c r="F30">
        <v>0</v>
      </c>
      <c r="G30">
        <v>0</v>
      </c>
      <c r="H30">
        <v>48.54</v>
      </c>
      <c r="I30">
        <v>9.77</v>
      </c>
      <c r="J30">
        <f t="shared" si="0"/>
        <v>58.31</v>
      </c>
      <c r="K30">
        <v>2004</v>
      </c>
      <c r="L30">
        <v>2011</v>
      </c>
    </row>
    <row r="31" spans="1:12" x14ac:dyDescent="0.5">
      <c r="A31" t="s">
        <v>27</v>
      </c>
      <c r="B31" t="s">
        <v>22</v>
      </c>
      <c r="C31" t="s">
        <v>23</v>
      </c>
      <c r="D31">
        <v>1.1000000000000001</v>
      </c>
      <c r="E31" t="s">
        <v>113</v>
      </c>
      <c r="F31">
        <v>0</v>
      </c>
      <c r="G31">
        <v>0</v>
      </c>
      <c r="H31">
        <v>36.380000000000003</v>
      </c>
      <c r="I31">
        <v>16.11</v>
      </c>
      <c r="J31">
        <f t="shared" si="0"/>
        <v>52.49</v>
      </c>
      <c r="K31">
        <v>2004</v>
      </c>
      <c r="L31">
        <v>2011</v>
      </c>
    </row>
    <row r="32" spans="1:12" x14ac:dyDescent="0.5">
      <c r="A32" t="s">
        <v>29</v>
      </c>
      <c r="B32" t="s">
        <v>22</v>
      </c>
      <c r="C32" t="s">
        <v>23</v>
      </c>
      <c r="D32">
        <v>1.1000000000000001</v>
      </c>
      <c r="E32" t="s">
        <v>122</v>
      </c>
      <c r="F32">
        <v>500.4</v>
      </c>
      <c r="G32">
        <v>0</v>
      </c>
      <c r="H32">
        <v>32.979999999999997</v>
      </c>
      <c r="I32">
        <v>19.98</v>
      </c>
      <c r="J32">
        <f t="shared" si="0"/>
        <v>52.959999999999994</v>
      </c>
      <c r="K32">
        <v>2007</v>
      </c>
      <c r="L32">
        <v>2014</v>
      </c>
    </row>
    <row r="33" spans="1:12" x14ac:dyDescent="0.5">
      <c r="A33" t="s">
        <v>29</v>
      </c>
      <c r="B33" t="s">
        <v>22</v>
      </c>
      <c r="C33" t="s">
        <v>23</v>
      </c>
      <c r="D33">
        <v>1.2</v>
      </c>
      <c r="E33" t="s">
        <v>121</v>
      </c>
      <c r="F33">
        <v>166.8</v>
      </c>
      <c r="G33">
        <v>405</v>
      </c>
      <c r="H33">
        <v>20.61</v>
      </c>
      <c r="I33">
        <v>9.99</v>
      </c>
      <c r="J33">
        <f t="shared" si="0"/>
        <v>30.6</v>
      </c>
      <c r="K33">
        <v>2007</v>
      </c>
      <c r="L33">
        <v>2014</v>
      </c>
    </row>
    <row r="34" spans="1:12" x14ac:dyDescent="0.5">
      <c r="A34" t="s">
        <v>29</v>
      </c>
      <c r="B34" t="s">
        <v>22</v>
      </c>
      <c r="C34" t="s">
        <v>23</v>
      </c>
      <c r="D34">
        <v>1.3</v>
      </c>
      <c r="E34" t="s">
        <v>120</v>
      </c>
      <c r="F34">
        <v>333.6</v>
      </c>
      <c r="G34">
        <v>6075</v>
      </c>
      <c r="H34">
        <v>41.23</v>
      </c>
      <c r="I34">
        <v>21.65</v>
      </c>
      <c r="J34">
        <f t="shared" si="0"/>
        <v>62.879999999999995</v>
      </c>
      <c r="K34">
        <v>2007</v>
      </c>
      <c r="L34">
        <v>2014</v>
      </c>
    </row>
    <row r="35" spans="1:12" x14ac:dyDescent="0.5">
      <c r="A35" t="s">
        <v>29</v>
      </c>
      <c r="B35" t="s">
        <v>22</v>
      </c>
      <c r="C35" t="s">
        <v>23</v>
      </c>
      <c r="D35">
        <v>1.4</v>
      </c>
      <c r="E35" t="s">
        <v>119</v>
      </c>
      <c r="F35">
        <v>278</v>
      </c>
      <c r="G35">
        <v>135</v>
      </c>
      <c r="H35">
        <v>28.86</v>
      </c>
      <c r="I35">
        <v>14.99</v>
      </c>
      <c r="J35">
        <f t="shared" si="0"/>
        <v>43.85</v>
      </c>
      <c r="K35">
        <v>2007</v>
      </c>
      <c r="L35">
        <v>2014</v>
      </c>
    </row>
    <row r="36" spans="1:12" x14ac:dyDescent="0.5">
      <c r="A36" t="s">
        <v>29</v>
      </c>
      <c r="B36" t="s">
        <v>22</v>
      </c>
      <c r="C36" t="s">
        <v>23</v>
      </c>
      <c r="D36">
        <v>1.5</v>
      </c>
      <c r="E36" t="s">
        <v>118</v>
      </c>
      <c r="F36">
        <v>222.4</v>
      </c>
      <c r="G36">
        <v>675</v>
      </c>
      <c r="H36">
        <v>37.11</v>
      </c>
      <c r="I36">
        <v>13.32</v>
      </c>
      <c r="J36">
        <f t="shared" si="0"/>
        <v>50.43</v>
      </c>
      <c r="K36">
        <v>2007</v>
      </c>
      <c r="L36">
        <v>2014</v>
      </c>
    </row>
    <row r="37" spans="1:12" x14ac:dyDescent="0.5">
      <c r="A37" t="s">
        <v>29</v>
      </c>
      <c r="B37" t="s">
        <v>22</v>
      </c>
      <c r="C37" t="s">
        <v>23</v>
      </c>
      <c r="D37">
        <v>1.6</v>
      </c>
      <c r="E37" t="s">
        <v>117</v>
      </c>
      <c r="F37">
        <v>111.2</v>
      </c>
      <c r="G37">
        <v>810</v>
      </c>
      <c r="H37">
        <v>32.979999999999997</v>
      </c>
      <c r="I37">
        <v>11.66</v>
      </c>
      <c r="J37">
        <f t="shared" si="0"/>
        <v>44.64</v>
      </c>
      <c r="K37">
        <v>2007</v>
      </c>
      <c r="L37">
        <v>2014</v>
      </c>
    </row>
    <row r="38" spans="1:12" x14ac:dyDescent="0.5">
      <c r="A38" t="s">
        <v>29</v>
      </c>
      <c r="B38" t="s">
        <v>22</v>
      </c>
      <c r="C38" t="s">
        <v>23</v>
      </c>
      <c r="D38">
        <v>1.7</v>
      </c>
      <c r="E38" t="s">
        <v>116</v>
      </c>
      <c r="F38">
        <v>194.6</v>
      </c>
      <c r="G38">
        <v>2025</v>
      </c>
      <c r="H38">
        <v>37.11</v>
      </c>
      <c r="I38">
        <v>16.649999999999999</v>
      </c>
      <c r="J38">
        <f t="shared" si="0"/>
        <v>53.76</v>
      </c>
      <c r="K38">
        <v>2007</v>
      </c>
      <c r="L38">
        <v>2014</v>
      </c>
    </row>
    <row r="39" spans="1:12" x14ac:dyDescent="0.5">
      <c r="A39" t="s">
        <v>29</v>
      </c>
      <c r="B39" t="s">
        <v>22</v>
      </c>
      <c r="C39" t="s">
        <v>23</v>
      </c>
      <c r="D39">
        <v>1.8</v>
      </c>
      <c r="E39" t="s">
        <v>115</v>
      </c>
      <c r="F39">
        <v>556</v>
      </c>
      <c r="G39">
        <v>2430</v>
      </c>
      <c r="H39">
        <v>94.33</v>
      </c>
      <c r="I39">
        <v>31.17</v>
      </c>
      <c r="J39">
        <f t="shared" si="0"/>
        <v>125.5</v>
      </c>
      <c r="K39">
        <v>2007</v>
      </c>
      <c r="L39">
        <v>2014</v>
      </c>
    </row>
    <row r="40" spans="1:12" x14ac:dyDescent="0.5">
      <c r="A40" t="s">
        <v>29</v>
      </c>
      <c r="B40" t="s">
        <v>22</v>
      </c>
      <c r="C40" t="s">
        <v>23</v>
      </c>
      <c r="D40">
        <v>1.9</v>
      </c>
      <c r="E40" t="s">
        <v>114</v>
      </c>
      <c r="F40">
        <v>0</v>
      </c>
      <c r="G40">
        <v>0</v>
      </c>
      <c r="H40">
        <v>56.2</v>
      </c>
      <c r="I40">
        <v>11.35</v>
      </c>
      <c r="J40">
        <f t="shared" si="0"/>
        <v>67.55</v>
      </c>
      <c r="K40">
        <v>2007</v>
      </c>
      <c r="L40">
        <v>2014</v>
      </c>
    </row>
    <row r="41" spans="1:12" x14ac:dyDescent="0.5">
      <c r="A41" t="s">
        <v>29</v>
      </c>
      <c r="B41" t="s">
        <v>22</v>
      </c>
      <c r="C41" t="s">
        <v>23</v>
      </c>
      <c r="D41">
        <v>1.1000000000000001</v>
      </c>
      <c r="E41" t="s">
        <v>113</v>
      </c>
      <c r="F41">
        <v>0</v>
      </c>
      <c r="G41">
        <v>0</v>
      </c>
      <c r="H41">
        <v>41.23</v>
      </c>
      <c r="I41">
        <v>18.3</v>
      </c>
      <c r="J41">
        <f t="shared" si="0"/>
        <v>59.53</v>
      </c>
      <c r="K41">
        <v>2007</v>
      </c>
      <c r="L41">
        <v>2014</v>
      </c>
    </row>
    <row r="42" spans="1:12" x14ac:dyDescent="0.5">
      <c r="A42" t="s">
        <v>30</v>
      </c>
      <c r="B42" t="s">
        <v>22</v>
      </c>
      <c r="C42" t="s">
        <v>23</v>
      </c>
      <c r="D42">
        <v>1.1000000000000001</v>
      </c>
      <c r="E42" t="s">
        <v>122</v>
      </c>
      <c r="F42">
        <v>558</v>
      </c>
      <c r="G42">
        <v>0</v>
      </c>
      <c r="H42">
        <v>36.06</v>
      </c>
      <c r="I42">
        <v>21.87</v>
      </c>
      <c r="J42">
        <f t="shared" si="0"/>
        <v>57.930000000000007</v>
      </c>
      <c r="K42">
        <v>2010</v>
      </c>
      <c r="L42">
        <v>2017</v>
      </c>
    </row>
    <row r="43" spans="1:12" x14ac:dyDescent="0.5">
      <c r="A43" t="s">
        <v>30</v>
      </c>
      <c r="B43" t="s">
        <v>22</v>
      </c>
      <c r="C43" t="s">
        <v>23</v>
      </c>
      <c r="D43">
        <v>1.2</v>
      </c>
      <c r="E43" t="s">
        <v>121</v>
      </c>
      <c r="F43">
        <v>186</v>
      </c>
      <c r="G43">
        <v>450</v>
      </c>
      <c r="H43">
        <v>22.54</v>
      </c>
      <c r="I43">
        <v>10.94</v>
      </c>
      <c r="J43">
        <f t="shared" si="0"/>
        <v>33.479999999999997</v>
      </c>
      <c r="K43">
        <v>2010</v>
      </c>
      <c r="L43">
        <v>2017</v>
      </c>
    </row>
    <row r="44" spans="1:12" x14ac:dyDescent="0.5">
      <c r="A44" t="s">
        <v>30</v>
      </c>
      <c r="B44" t="s">
        <v>22</v>
      </c>
      <c r="C44" t="s">
        <v>23</v>
      </c>
      <c r="D44">
        <v>1.3</v>
      </c>
      <c r="E44" t="s">
        <v>120</v>
      </c>
      <c r="F44">
        <v>372</v>
      </c>
      <c r="G44">
        <v>6750</v>
      </c>
      <c r="H44">
        <v>45.07</v>
      </c>
      <c r="I44">
        <v>23.69</v>
      </c>
      <c r="J44">
        <f t="shared" si="0"/>
        <v>68.760000000000005</v>
      </c>
      <c r="K44">
        <v>2010</v>
      </c>
      <c r="L44">
        <v>2017</v>
      </c>
    </row>
    <row r="45" spans="1:12" x14ac:dyDescent="0.5">
      <c r="A45" t="s">
        <v>30</v>
      </c>
      <c r="B45" t="s">
        <v>22</v>
      </c>
      <c r="C45" t="s">
        <v>23</v>
      </c>
      <c r="D45">
        <v>1.4</v>
      </c>
      <c r="E45" t="s">
        <v>119</v>
      </c>
      <c r="F45">
        <v>310</v>
      </c>
      <c r="G45">
        <v>150</v>
      </c>
      <c r="H45">
        <v>31.55</v>
      </c>
      <c r="I45">
        <v>16.399999999999999</v>
      </c>
      <c r="J45">
        <f t="shared" si="0"/>
        <v>47.95</v>
      </c>
      <c r="K45">
        <v>2010</v>
      </c>
      <c r="L45">
        <v>2017</v>
      </c>
    </row>
    <row r="46" spans="1:12" x14ac:dyDescent="0.5">
      <c r="A46" t="s">
        <v>30</v>
      </c>
      <c r="B46" t="s">
        <v>22</v>
      </c>
      <c r="C46" t="s">
        <v>23</v>
      </c>
      <c r="D46">
        <v>1.5</v>
      </c>
      <c r="E46" t="s">
        <v>118</v>
      </c>
      <c r="F46">
        <v>248</v>
      </c>
      <c r="G46">
        <v>750</v>
      </c>
      <c r="H46">
        <v>40.56</v>
      </c>
      <c r="I46">
        <v>14.58</v>
      </c>
      <c r="J46">
        <f t="shared" si="0"/>
        <v>55.14</v>
      </c>
      <c r="K46">
        <v>2010</v>
      </c>
      <c r="L46">
        <v>2017</v>
      </c>
    </row>
    <row r="47" spans="1:12" x14ac:dyDescent="0.5">
      <c r="A47" t="s">
        <v>30</v>
      </c>
      <c r="B47" t="s">
        <v>22</v>
      </c>
      <c r="C47" t="s">
        <v>23</v>
      </c>
      <c r="D47">
        <v>1.6</v>
      </c>
      <c r="E47" t="s">
        <v>117</v>
      </c>
      <c r="F47">
        <v>124</v>
      </c>
      <c r="G47">
        <v>900</v>
      </c>
      <c r="H47">
        <v>36.06</v>
      </c>
      <c r="I47">
        <v>12.76</v>
      </c>
      <c r="J47">
        <f t="shared" si="0"/>
        <v>48.82</v>
      </c>
      <c r="K47">
        <v>2010</v>
      </c>
      <c r="L47">
        <v>2017</v>
      </c>
    </row>
    <row r="48" spans="1:12" x14ac:dyDescent="0.5">
      <c r="A48" t="s">
        <v>30</v>
      </c>
      <c r="B48" t="s">
        <v>22</v>
      </c>
      <c r="C48" t="s">
        <v>23</v>
      </c>
      <c r="D48">
        <v>1.7</v>
      </c>
      <c r="E48" t="s">
        <v>116</v>
      </c>
      <c r="F48">
        <v>217</v>
      </c>
      <c r="G48">
        <v>2250</v>
      </c>
      <c r="H48">
        <v>40.56</v>
      </c>
      <c r="I48">
        <v>18.23</v>
      </c>
      <c r="J48">
        <f t="shared" si="0"/>
        <v>58.790000000000006</v>
      </c>
      <c r="K48">
        <v>2010</v>
      </c>
      <c r="L48">
        <v>2017</v>
      </c>
    </row>
    <row r="49" spans="1:12" x14ac:dyDescent="0.5">
      <c r="A49" t="s">
        <v>30</v>
      </c>
      <c r="B49" t="s">
        <v>22</v>
      </c>
      <c r="C49" t="s">
        <v>23</v>
      </c>
      <c r="D49">
        <v>1.8</v>
      </c>
      <c r="E49" t="s">
        <v>115</v>
      </c>
      <c r="F49">
        <v>620</v>
      </c>
      <c r="G49">
        <v>2700</v>
      </c>
      <c r="H49">
        <v>103.12</v>
      </c>
      <c r="I49">
        <v>34.119999999999997</v>
      </c>
      <c r="J49">
        <f t="shared" si="0"/>
        <v>137.24</v>
      </c>
      <c r="K49">
        <v>2010</v>
      </c>
      <c r="L49">
        <v>2017</v>
      </c>
    </row>
    <row r="50" spans="1:12" x14ac:dyDescent="0.5">
      <c r="A50" t="s">
        <v>30</v>
      </c>
      <c r="B50" t="s">
        <v>22</v>
      </c>
      <c r="C50" t="s">
        <v>23</v>
      </c>
      <c r="D50">
        <v>1.9</v>
      </c>
      <c r="E50" t="s">
        <v>114</v>
      </c>
      <c r="F50">
        <v>0</v>
      </c>
      <c r="G50">
        <v>0</v>
      </c>
      <c r="H50">
        <v>62.74</v>
      </c>
      <c r="I50">
        <v>12.69</v>
      </c>
      <c r="J50">
        <f t="shared" si="0"/>
        <v>75.430000000000007</v>
      </c>
      <c r="K50">
        <v>2010</v>
      </c>
      <c r="L50">
        <v>2017</v>
      </c>
    </row>
    <row r="51" spans="1:12" x14ac:dyDescent="0.5">
      <c r="A51" t="s">
        <v>30</v>
      </c>
      <c r="B51" t="s">
        <v>22</v>
      </c>
      <c r="C51" t="s">
        <v>23</v>
      </c>
      <c r="D51">
        <v>1.1000000000000001</v>
      </c>
      <c r="E51" t="s">
        <v>113</v>
      </c>
      <c r="F51">
        <v>0</v>
      </c>
      <c r="G51">
        <v>0</v>
      </c>
      <c r="H51">
        <v>45.06</v>
      </c>
      <c r="I51">
        <v>20.05</v>
      </c>
      <c r="J51">
        <f t="shared" si="0"/>
        <v>65.11</v>
      </c>
      <c r="K51">
        <v>2010</v>
      </c>
      <c r="L51">
        <v>2017</v>
      </c>
    </row>
    <row r="52" spans="1:12" x14ac:dyDescent="0.5">
      <c r="A52" t="s">
        <v>31</v>
      </c>
      <c r="B52" t="s">
        <v>32</v>
      </c>
      <c r="C52" t="s">
        <v>33</v>
      </c>
      <c r="D52">
        <v>1.1000000000000001</v>
      </c>
      <c r="E52" t="s">
        <v>122</v>
      </c>
      <c r="F52">
        <v>122.4</v>
      </c>
      <c r="G52">
        <v>0</v>
      </c>
      <c r="H52">
        <v>7.6</v>
      </c>
      <c r="I52">
        <v>4.57</v>
      </c>
      <c r="J52">
        <f t="shared" si="0"/>
        <v>12.17</v>
      </c>
      <c r="K52">
        <v>1997</v>
      </c>
      <c r="L52">
        <v>2003</v>
      </c>
    </row>
    <row r="53" spans="1:12" x14ac:dyDescent="0.5">
      <c r="A53" t="s">
        <v>31</v>
      </c>
      <c r="B53" t="s">
        <v>32</v>
      </c>
      <c r="C53" t="s">
        <v>33</v>
      </c>
      <c r="D53">
        <v>1.2</v>
      </c>
      <c r="E53" t="s">
        <v>121</v>
      </c>
      <c r="F53">
        <v>40.799999999999997</v>
      </c>
      <c r="G53">
        <v>33</v>
      </c>
      <c r="H53">
        <v>4.75</v>
      </c>
      <c r="I53">
        <v>2.2799999999999998</v>
      </c>
      <c r="J53">
        <f t="shared" si="0"/>
        <v>7.0299999999999994</v>
      </c>
      <c r="K53">
        <v>1997</v>
      </c>
      <c r="L53">
        <v>2003</v>
      </c>
    </row>
    <row r="54" spans="1:12" x14ac:dyDescent="0.5">
      <c r="A54" t="s">
        <v>31</v>
      </c>
      <c r="B54" t="s">
        <v>32</v>
      </c>
      <c r="C54" t="s">
        <v>33</v>
      </c>
      <c r="D54">
        <v>1.3</v>
      </c>
      <c r="E54" t="s">
        <v>120</v>
      </c>
      <c r="F54">
        <v>81.599999999999994</v>
      </c>
      <c r="G54">
        <v>495</v>
      </c>
      <c r="H54">
        <v>9.49</v>
      </c>
      <c r="I54">
        <v>4.95</v>
      </c>
      <c r="J54">
        <f t="shared" si="0"/>
        <v>14.440000000000001</v>
      </c>
      <c r="K54">
        <v>1997</v>
      </c>
      <c r="L54">
        <v>2003</v>
      </c>
    </row>
    <row r="55" spans="1:12" x14ac:dyDescent="0.5">
      <c r="A55" t="s">
        <v>31</v>
      </c>
      <c r="B55" t="s">
        <v>32</v>
      </c>
      <c r="C55" t="s">
        <v>33</v>
      </c>
      <c r="D55">
        <v>1.4</v>
      </c>
      <c r="E55" t="s">
        <v>119</v>
      </c>
      <c r="F55">
        <v>68</v>
      </c>
      <c r="G55">
        <v>11</v>
      </c>
      <c r="H55">
        <v>6.65</v>
      </c>
      <c r="I55">
        <v>3.42</v>
      </c>
      <c r="J55">
        <f t="shared" si="0"/>
        <v>10.07</v>
      </c>
      <c r="K55">
        <v>1997</v>
      </c>
      <c r="L55">
        <v>2003</v>
      </c>
    </row>
    <row r="56" spans="1:12" x14ac:dyDescent="0.5">
      <c r="A56" t="s">
        <v>31</v>
      </c>
      <c r="B56" t="s">
        <v>32</v>
      </c>
      <c r="C56" t="s">
        <v>33</v>
      </c>
      <c r="D56">
        <v>1.5</v>
      </c>
      <c r="E56" t="s">
        <v>118</v>
      </c>
      <c r="F56">
        <v>54.4</v>
      </c>
      <c r="G56">
        <v>55</v>
      </c>
      <c r="H56">
        <v>8.5399999999999991</v>
      </c>
      <c r="I56">
        <v>3.04</v>
      </c>
      <c r="J56">
        <f t="shared" si="0"/>
        <v>11.579999999999998</v>
      </c>
      <c r="K56">
        <v>1997</v>
      </c>
      <c r="L56">
        <v>2003</v>
      </c>
    </row>
    <row r="57" spans="1:12" x14ac:dyDescent="0.5">
      <c r="A57" t="s">
        <v>31</v>
      </c>
      <c r="B57" t="s">
        <v>32</v>
      </c>
      <c r="C57" t="s">
        <v>33</v>
      </c>
      <c r="D57">
        <v>1.6</v>
      </c>
      <c r="E57" t="s">
        <v>117</v>
      </c>
      <c r="F57">
        <v>27.2</v>
      </c>
      <c r="G57">
        <v>66</v>
      </c>
      <c r="H57">
        <v>7.6</v>
      </c>
      <c r="I57">
        <v>2.66</v>
      </c>
      <c r="J57">
        <f t="shared" si="0"/>
        <v>10.26</v>
      </c>
      <c r="K57">
        <v>1997</v>
      </c>
      <c r="L57">
        <v>2003</v>
      </c>
    </row>
    <row r="58" spans="1:12" x14ac:dyDescent="0.5">
      <c r="A58" t="s">
        <v>31</v>
      </c>
      <c r="B58" t="s">
        <v>32</v>
      </c>
      <c r="C58" t="s">
        <v>33</v>
      </c>
      <c r="D58">
        <v>1.7</v>
      </c>
      <c r="E58" t="s">
        <v>116</v>
      </c>
      <c r="F58">
        <v>47.6</v>
      </c>
      <c r="G58">
        <v>165</v>
      </c>
      <c r="H58">
        <v>8.5399999999999991</v>
      </c>
      <c r="I58">
        <v>3.8</v>
      </c>
      <c r="J58">
        <f t="shared" si="0"/>
        <v>12.34</v>
      </c>
      <c r="K58">
        <v>1997</v>
      </c>
      <c r="L58">
        <v>2003</v>
      </c>
    </row>
    <row r="59" spans="1:12" x14ac:dyDescent="0.5">
      <c r="A59" t="s">
        <v>31</v>
      </c>
      <c r="B59" t="s">
        <v>32</v>
      </c>
      <c r="C59" t="s">
        <v>33</v>
      </c>
      <c r="D59">
        <v>1.8</v>
      </c>
      <c r="E59" t="s">
        <v>115</v>
      </c>
      <c r="F59">
        <v>136</v>
      </c>
      <c r="G59">
        <v>198</v>
      </c>
      <c r="H59">
        <v>21.72</v>
      </c>
      <c r="I59">
        <v>7.12</v>
      </c>
      <c r="J59">
        <f t="shared" si="0"/>
        <v>28.84</v>
      </c>
      <c r="K59">
        <v>1997</v>
      </c>
      <c r="L59">
        <v>2003</v>
      </c>
    </row>
    <row r="60" spans="1:12" x14ac:dyDescent="0.5">
      <c r="A60" t="s">
        <v>31</v>
      </c>
      <c r="B60" t="s">
        <v>32</v>
      </c>
      <c r="C60" t="s">
        <v>33</v>
      </c>
      <c r="D60">
        <v>1.9</v>
      </c>
      <c r="E60" t="s">
        <v>114</v>
      </c>
      <c r="F60">
        <v>0</v>
      </c>
      <c r="G60">
        <v>0</v>
      </c>
      <c r="H60">
        <v>11.44</v>
      </c>
      <c r="I60">
        <v>2.29</v>
      </c>
      <c r="J60">
        <f t="shared" si="0"/>
        <v>13.73</v>
      </c>
      <c r="K60">
        <v>1997</v>
      </c>
      <c r="L60">
        <v>2003</v>
      </c>
    </row>
    <row r="61" spans="1:12" x14ac:dyDescent="0.5">
      <c r="A61" t="s">
        <v>31</v>
      </c>
      <c r="B61" t="s">
        <v>32</v>
      </c>
      <c r="C61" t="s">
        <v>33</v>
      </c>
      <c r="D61">
        <v>1.1000000000000001</v>
      </c>
      <c r="E61" t="s">
        <v>113</v>
      </c>
      <c r="F61">
        <v>0</v>
      </c>
      <c r="G61">
        <v>0</v>
      </c>
      <c r="H61">
        <v>9.49</v>
      </c>
      <c r="I61">
        <v>4.2</v>
      </c>
      <c r="J61">
        <f t="shared" si="0"/>
        <v>13.690000000000001</v>
      </c>
      <c r="K61">
        <v>1997</v>
      </c>
      <c r="L61">
        <v>2003</v>
      </c>
    </row>
    <row r="62" spans="1:12" x14ac:dyDescent="0.5">
      <c r="A62" t="s">
        <v>35</v>
      </c>
      <c r="B62" t="s">
        <v>32</v>
      </c>
      <c r="C62" t="s">
        <v>33</v>
      </c>
      <c r="D62">
        <v>1.1000000000000001</v>
      </c>
      <c r="E62" t="s">
        <v>122</v>
      </c>
      <c r="F62">
        <v>129.6</v>
      </c>
      <c r="G62">
        <v>0</v>
      </c>
      <c r="H62">
        <v>8.01</v>
      </c>
      <c r="I62">
        <v>4.82</v>
      </c>
      <c r="J62">
        <f t="shared" si="0"/>
        <v>12.83</v>
      </c>
      <c r="K62">
        <v>1999</v>
      </c>
      <c r="L62">
        <v>2005</v>
      </c>
    </row>
    <row r="63" spans="1:12" x14ac:dyDescent="0.5">
      <c r="A63" t="s">
        <v>35</v>
      </c>
      <c r="B63" t="s">
        <v>32</v>
      </c>
      <c r="C63" t="s">
        <v>33</v>
      </c>
      <c r="D63">
        <v>1.2</v>
      </c>
      <c r="E63" t="s">
        <v>121</v>
      </c>
      <c r="F63">
        <v>43.2</v>
      </c>
      <c r="G63">
        <v>37.5</v>
      </c>
      <c r="H63">
        <v>5</v>
      </c>
      <c r="I63">
        <v>2.41</v>
      </c>
      <c r="J63">
        <f t="shared" si="0"/>
        <v>7.41</v>
      </c>
      <c r="K63">
        <v>1999</v>
      </c>
      <c r="L63">
        <v>2005</v>
      </c>
    </row>
    <row r="64" spans="1:12" x14ac:dyDescent="0.5">
      <c r="A64" t="s">
        <v>35</v>
      </c>
      <c r="B64" t="s">
        <v>32</v>
      </c>
      <c r="C64" t="s">
        <v>33</v>
      </c>
      <c r="D64">
        <v>1.3</v>
      </c>
      <c r="E64" t="s">
        <v>120</v>
      </c>
      <c r="F64">
        <v>86.4</v>
      </c>
      <c r="G64">
        <v>562.5</v>
      </c>
      <c r="H64">
        <v>10.01</v>
      </c>
      <c r="I64">
        <v>5.23</v>
      </c>
      <c r="J64">
        <f t="shared" si="0"/>
        <v>15.24</v>
      </c>
      <c r="K64">
        <v>1999</v>
      </c>
      <c r="L64">
        <v>2005</v>
      </c>
    </row>
    <row r="65" spans="1:12" x14ac:dyDescent="0.5">
      <c r="A65" t="s">
        <v>35</v>
      </c>
      <c r="B65" t="s">
        <v>32</v>
      </c>
      <c r="C65" t="s">
        <v>33</v>
      </c>
      <c r="D65">
        <v>1.4</v>
      </c>
      <c r="E65" t="s">
        <v>119</v>
      </c>
      <c r="F65">
        <v>72</v>
      </c>
      <c r="G65">
        <v>12.5</v>
      </c>
      <c r="H65">
        <v>7</v>
      </c>
      <c r="I65">
        <v>3.62</v>
      </c>
      <c r="J65">
        <f t="shared" si="0"/>
        <v>10.620000000000001</v>
      </c>
      <c r="K65">
        <v>1999</v>
      </c>
      <c r="L65">
        <v>2005</v>
      </c>
    </row>
    <row r="66" spans="1:12" x14ac:dyDescent="0.5">
      <c r="A66" t="s">
        <v>35</v>
      </c>
      <c r="B66" t="s">
        <v>32</v>
      </c>
      <c r="C66" t="s">
        <v>33</v>
      </c>
      <c r="D66">
        <v>1.5</v>
      </c>
      <c r="E66" t="s">
        <v>118</v>
      </c>
      <c r="F66">
        <v>57.6</v>
      </c>
      <c r="G66">
        <v>62.5</v>
      </c>
      <c r="H66">
        <v>9.01</v>
      </c>
      <c r="I66">
        <v>3.22</v>
      </c>
      <c r="J66">
        <f t="shared" si="0"/>
        <v>12.23</v>
      </c>
      <c r="K66">
        <v>1999</v>
      </c>
      <c r="L66">
        <v>2005</v>
      </c>
    </row>
    <row r="67" spans="1:12" x14ac:dyDescent="0.5">
      <c r="A67" t="s">
        <v>35</v>
      </c>
      <c r="B67" t="s">
        <v>32</v>
      </c>
      <c r="C67" t="s">
        <v>33</v>
      </c>
      <c r="D67">
        <v>1.6</v>
      </c>
      <c r="E67" t="s">
        <v>117</v>
      </c>
      <c r="F67">
        <v>28.8</v>
      </c>
      <c r="G67">
        <v>75</v>
      </c>
      <c r="H67">
        <v>8.01</v>
      </c>
      <c r="I67">
        <v>2.81</v>
      </c>
      <c r="J67">
        <f t="shared" ref="J67:J130" si="1">SUM(H67:I67)</f>
        <v>10.82</v>
      </c>
      <c r="K67">
        <v>1999</v>
      </c>
      <c r="L67">
        <v>2005</v>
      </c>
    </row>
    <row r="68" spans="1:12" x14ac:dyDescent="0.5">
      <c r="A68" t="s">
        <v>35</v>
      </c>
      <c r="B68" t="s">
        <v>32</v>
      </c>
      <c r="C68" t="s">
        <v>33</v>
      </c>
      <c r="D68">
        <v>1.7</v>
      </c>
      <c r="E68" t="s">
        <v>116</v>
      </c>
      <c r="F68">
        <v>50.4</v>
      </c>
      <c r="G68">
        <v>187.5</v>
      </c>
      <c r="H68">
        <v>9.01</v>
      </c>
      <c r="I68">
        <v>4.0199999999999996</v>
      </c>
      <c r="J68">
        <f t="shared" si="1"/>
        <v>13.03</v>
      </c>
      <c r="K68">
        <v>1999</v>
      </c>
      <c r="L68">
        <v>2005</v>
      </c>
    </row>
    <row r="69" spans="1:12" x14ac:dyDescent="0.5">
      <c r="A69" t="s">
        <v>35</v>
      </c>
      <c r="B69" t="s">
        <v>32</v>
      </c>
      <c r="C69" t="s">
        <v>33</v>
      </c>
      <c r="D69">
        <v>1.8</v>
      </c>
      <c r="E69" t="s">
        <v>115</v>
      </c>
      <c r="F69">
        <v>144</v>
      </c>
      <c r="G69">
        <v>225</v>
      </c>
      <c r="H69">
        <v>23.78</v>
      </c>
      <c r="I69">
        <v>7.81</v>
      </c>
      <c r="J69">
        <f t="shared" si="1"/>
        <v>31.59</v>
      </c>
      <c r="K69">
        <v>1999</v>
      </c>
      <c r="L69">
        <v>2005</v>
      </c>
    </row>
    <row r="70" spans="1:12" x14ac:dyDescent="0.5">
      <c r="A70" t="s">
        <v>35</v>
      </c>
      <c r="B70" t="s">
        <v>32</v>
      </c>
      <c r="C70" t="s">
        <v>33</v>
      </c>
      <c r="D70">
        <v>1.9</v>
      </c>
      <c r="E70" t="s">
        <v>114</v>
      </c>
      <c r="F70">
        <v>0</v>
      </c>
      <c r="G70">
        <v>0</v>
      </c>
      <c r="H70">
        <v>12.2</v>
      </c>
      <c r="I70">
        <v>2.4500000000000002</v>
      </c>
      <c r="J70">
        <f t="shared" si="1"/>
        <v>14.649999999999999</v>
      </c>
      <c r="K70">
        <v>1999</v>
      </c>
      <c r="L70">
        <v>2005</v>
      </c>
    </row>
    <row r="71" spans="1:12" x14ac:dyDescent="0.5">
      <c r="A71" t="s">
        <v>35</v>
      </c>
      <c r="B71" t="s">
        <v>32</v>
      </c>
      <c r="C71" t="s">
        <v>33</v>
      </c>
      <c r="D71">
        <v>1.1000000000000001</v>
      </c>
      <c r="E71" t="s">
        <v>113</v>
      </c>
      <c r="F71">
        <v>0</v>
      </c>
      <c r="G71">
        <v>0</v>
      </c>
      <c r="H71">
        <v>9.99</v>
      </c>
      <c r="I71">
        <v>4.42</v>
      </c>
      <c r="J71">
        <f t="shared" si="1"/>
        <v>14.41</v>
      </c>
      <c r="K71">
        <v>1999</v>
      </c>
      <c r="L71">
        <v>2005</v>
      </c>
    </row>
    <row r="72" spans="1:12" x14ac:dyDescent="0.5">
      <c r="A72" t="s">
        <v>36</v>
      </c>
      <c r="B72" t="s">
        <v>32</v>
      </c>
      <c r="C72" t="s">
        <v>33</v>
      </c>
      <c r="D72">
        <v>1.1000000000000001</v>
      </c>
      <c r="E72" t="s">
        <v>122</v>
      </c>
      <c r="F72">
        <v>145.80000000000001</v>
      </c>
      <c r="G72">
        <v>0</v>
      </c>
      <c r="H72">
        <v>9.18</v>
      </c>
      <c r="I72">
        <v>5.54</v>
      </c>
      <c r="J72">
        <f t="shared" si="1"/>
        <v>14.719999999999999</v>
      </c>
      <c r="K72">
        <v>2002</v>
      </c>
      <c r="L72">
        <v>2008</v>
      </c>
    </row>
    <row r="73" spans="1:12" x14ac:dyDescent="0.5">
      <c r="A73" t="s">
        <v>36</v>
      </c>
      <c r="B73" t="s">
        <v>32</v>
      </c>
      <c r="C73" t="s">
        <v>33</v>
      </c>
      <c r="D73">
        <v>1.2</v>
      </c>
      <c r="E73" t="s">
        <v>121</v>
      </c>
      <c r="F73">
        <v>48.6</v>
      </c>
      <c r="G73">
        <v>42</v>
      </c>
      <c r="H73">
        <v>5.74</v>
      </c>
      <c r="I73">
        <v>2.77</v>
      </c>
      <c r="J73">
        <f t="shared" si="1"/>
        <v>8.51</v>
      </c>
      <c r="K73">
        <v>2002</v>
      </c>
      <c r="L73">
        <v>2008</v>
      </c>
    </row>
    <row r="74" spans="1:12" x14ac:dyDescent="0.5">
      <c r="A74" t="s">
        <v>36</v>
      </c>
      <c r="B74" t="s">
        <v>32</v>
      </c>
      <c r="C74" t="s">
        <v>33</v>
      </c>
      <c r="D74">
        <v>1.3</v>
      </c>
      <c r="E74" t="s">
        <v>120</v>
      </c>
      <c r="F74">
        <v>97.2</v>
      </c>
      <c r="G74">
        <v>630</v>
      </c>
      <c r="H74">
        <v>11.48</v>
      </c>
      <c r="I74">
        <v>6</v>
      </c>
      <c r="J74">
        <f t="shared" si="1"/>
        <v>17.48</v>
      </c>
      <c r="K74">
        <v>2002</v>
      </c>
      <c r="L74">
        <v>2008</v>
      </c>
    </row>
    <row r="75" spans="1:12" x14ac:dyDescent="0.5">
      <c r="A75" t="s">
        <v>36</v>
      </c>
      <c r="B75" t="s">
        <v>32</v>
      </c>
      <c r="C75" t="s">
        <v>33</v>
      </c>
      <c r="D75">
        <v>1.4</v>
      </c>
      <c r="E75" t="s">
        <v>119</v>
      </c>
      <c r="F75">
        <v>81</v>
      </c>
      <c r="G75">
        <v>14</v>
      </c>
      <c r="H75">
        <v>8.0299999999999994</v>
      </c>
      <c r="I75">
        <v>4.1500000000000004</v>
      </c>
      <c r="J75">
        <f t="shared" si="1"/>
        <v>12.18</v>
      </c>
      <c r="K75">
        <v>2002</v>
      </c>
      <c r="L75">
        <v>2008</v>
      </c>
    </row>
    <row r="76" spans="1:12" x14ac:dyDescent="0.5">
      <c r="A76" t="s">
        <v>36</v>
      </c>
      <c r="B76" t="s">
        <v>32</v>
      </c>
      <c r="C76" t="s">
        <v>33</v>
      </c>
      <c r="D76">
        <v>1.5</v>
      </c>
      <c r="E76" t="s">
        <v>118</v>
      </c>
      <c r="F76">
        <v>64.8</v>
      </c>
      <c r="G76">
        <v>70</v>
      </c>
      <c r="H76">
        <v>10.33</v>
      </c>
      <c r="I76">
        <v>3.69</v>
      </c>
      <c r="J76">
        <f t="shared" si="1"/>
        <v>14.02</v>
      </c>
      <c r="K76">
        <v>2002</v>
      </c>
      <c r="L76">
        <v>2008</v>
      </c>
    </row>
    <row r="77" spans="1:12" x14ac:dyDescent="0.5">
      <c r="A77" t="s">
        <v>36</v>
      </c>
      <c r="B77" t="s">
        <v>32</v>
      </c>
      <c r="C77" t="s">
        <v>33</v>
      </c>
      <c r="D77">
        <v>1.6</v>
      </c>
      <c r="E77" t="s">
        <v>117</v>
      </c>
      <c r="F77">
        <v>32.4</v>
      </c>
      <c r="G77">
        <v>84</v>
      </c>
      <c r="H77">
        <v>9.18</v>
      </c>
      <c r="I77">
        <v>3.23</v>
      </c>
      <c r="J77">
        <f t="shared" si="1"/>
        <v>12.41</v>
      </c>
      <c r="K77">
        <v>2002</v>
      </c>
      <c r="L77">
        <v>2008</v>
      </c>
    </row>
    <row r="78" spans="1:12" x14ac:dyDescent="0.5">
      <c r="A78" t="s">
        <v>36</v>
      </c>
      <c r="B78" t="s">
        <v>32</v>
      </c>
      <c r="C78" t="s">
        <v>33</v>
      </c>
      <c r="D78">
        <v>1.7</v>
      </c>
      <c r="E78" t="s">
        <v>116</v>
      </c>
      <c r="F78">
        <v>56.7</v>
      </c>
      <c r="G78">
        <v>210</v>
      </c>
      <c r="H78">
        <v>10.33</v>
      </c>
      <c r="I78">
        <v>4.6100000000000003</v>
      </c>
      <c r="J78">
        <f t="shared" si="1"/>
        <v>14.940000000000001</v>
      </c>
      <c r="K78">
        <v>2002</v>
      </c>
      <c r="L78">
        <v>2008</v>
      </c>
    </row>
    <row r="79" spans="1:12" x14ac:dyDescent="0.5">
      <c r="A79" t="s">
        <v>36</v>
      </c>
      <c r="B79" t="s">
        <v>32</v>
      </c>
      <c r="C79" t="s">
        <v>33</v>
      </c>
      <c r="D79">
        <v>1.8</v>
      </c>
      <c r="E79" t="s">
        <v>115</v>
      </c>
      <c r="F79">
        <v>162</v>
      </c>
      <c r="G79">
        <v>252</v>
      </c>
      <c r="H79">
        <v>27.27</v>
      </c>
      <c r="I79">
        <v>8.9700000000000006</v>
      </c>
      <c r="J79">
        <f t="shared" si="1"/>
        <v>36.24</v>
      </c>
      <c r="K79">
        <v>2002</v>
      </c>
      <c r="L79">
        <v>2008</v>
      </c>
    </row>
    <row r="80" spans="1:12" x14ac:dyDescent="0.5">
      <c r="A80" t="s">
        <v>36</v>
      </c>
      <c r="B80" t="s">
        <v>32</v>
      </c>
      <c r="C80" t="s">
        <v>33</v>
      </c>
      <c r="D80">
        <v>1.9</v>
      </c>
      <c r="E80" t="s">
        <v>114</v>
      </c>
      <c r="F80">
        <v>0</v>
      </c>
      <c r="G80">
        <v>0</v>
      </c>
      <c r="H80">
        <v>14.27</v>
      </c>
      <c r="I80">
        <v>2.87</v>
      </c>
      <c r="J80">
        <f t="shared" si="1"/>
        <v>17.14</v>
      </c>
      <c r="K80">
        <v>2002</v>
      </c>
      <c r="L80">
        <v>2008</v>
      </c>
    </row>
    <row r="81" spans="1:12" x14ac:dyDescent="0.5">
      <c r="A81" t="s">
        <v>36</v>
      </c>
      <c r="B81" t="s">
        <v>32</v>
      </c>
      <c r="C81" t="s">
        <v>33</v>
      </c>
      <c r="D81">
        <v>1.1000000000000001</v>
      </c>
      <c r="E81" t="s">
        <v>113</v>
      </c>
      <c r="F81">
        <v>0</v>
      </c>
      <c r="G81">
        <v>0</v>
      </c>
      <c r="H81">
        <v>11.46</v>
      </c>
      <c r="I81">
        <v>5.08</v>
      </c>
      <c r="J81">
        <f t="shared" si="1"/>
        <v>16.54</v>
      </c>
      <c r="K81">
        <v>2002</v>
      </c>
      <c r="L81">
        <v>2008</v>
      </c>
    </row>
    <row r="82" spans="1:12" x14ac:dyDescent="0.5">
      <c r="A82" t="s">
        <v>37</v>
      </c>
      <c r="B82" t="s">
        <v>32</v>
      </c>
      <c r="C82" t="s">
        <v>33</v>
      </c>
      <c r="D82">
        <v>1.1000000000000001</v>
      </c>
      <c r="E82" t="s">
        <v>122</v>
      </c>
      <c r="F82">
        <v>171</v>
      </c>
      <c r="G82">
        <v>0</v>
      </c>
      <c r="H82">
        <v>9.86</v>
      </c>
      <c r="I82">
        <v>5.96</v>
      </c>
      <c r="J82">
        <f t="shared" si="1"/>
        <v>15.82</v>
      </c>
      <c r="K82">
        <v>2005</v>
      </c>
      <c r="L82">
        <v>2011</v>
      </c>
    </row>
    <row r="83" spans="1:12" x14ac:dyDescent="0.5">
      <c r="A83" t="s">
        <v>37</v>
      </c>
      <c r="B83" t="s">
        <v>32</v>
      </c>
      <c r="C83" t="s">
        <v>33</v>
      </c>
      <c r="D83">
        <v>1.2</v>
      </c>
      <c r="E83" t="s">
        <v>121</v>
      </c>
      <c r="F83">
        <v>57</v>
      </c>
      <c r="G83">
        <v>49.5</v>
      </c>
      <c r="H83">
        <v>6.16</v>
      </c>
      <c r="I83">
        <v>2.98</v>
      </c>
      <c r="J83">
        <f t="shared" si="1"/>
        <v>9.14</v>
      </c>
      <c r="K83">
        <v>2005</v>
      </c>
      <c r="L83">
        <v>2011</v>
      </c>
    </row>
    <row r="84" spans="1:12" x14ac:dyDescent="0.5">
      <c r="A84" t="s">
        <v>37</v>
      </c>
      <c r="B84" t="s">
        <v>32</v>
      </c>
      <c r="C84" t="s">
        <v>33</v>
      </c>
      <c r="D84">
        <v>1.3</v>
      </c>
      <c r="E84" t="s">
        <v>120</v>
      </c>
      <c r="F84">
        <v>114</v>
      </c>
      <c r="G84">
        <v>742.5</v>
      </c>
      <c r="H84">
        <v>12.33</v>
      </c>
      <c r="I84">
        <v>6.46</v>
      </c>
      <c r="J84">
        <f t="shared" si="1"/>
        <v>18.79</v>
      </c>
      <c r="K84">
        <v>2005</v>
      </c>
      <c r="L84">
        <v>2011</v>
      </c>
    </row>
    <row r="85" spans="1:12" x14ac:dyDescent="0.5">
      <c r="A85" t="s">
        <v>37</v>
      </c>
      <c r="B85" t="s">
        <v>32</v>
      </c>
      <c r="C85" t="s">
        <v>33</v>
      </c>
      <c r="D85">
        <v>1.4</v>
      </c>
      <c r="E85" t="s">
        <v>119</v>
      </c>
      <c r="F85">
        <v>95</v>
      </c>
      <c r="G85">
        <v>16.5</v>
      </c>
      <c r="H85">
        <v>8.6300000000000008</v>
      </c>
      <c r="I85">
        <v>4.47</v>
      </c>
      <c r="J85">
        <f t="shared" si="1"/>
        <v>13.100000000000001</v>
      </c>
      <c r="K85">
        <v>2005</v>
      </c>
      <c r="L85">
        <v>2011</v>
      </c>
    </row>
    <row r="86" spans="1:12" x14ac:dyDescent="0.5">
      <c r="A86" t="s">
        <v>37</v>
      </c>
      <c r="B86" t="s">
        <v>32</v>
      </c>
      <c r="C86" t="s">
        <v>33</v>
      </c>
      <c r="D86">
        <v>1.5</v>
      </c>
      <c r="E86" t="s">
        <v>118</v>
      </c>
      <c r="F86">
        <v>76</v>
      </c>
      <c r="G86">
        <v>82.5</v>
      </c>
      <c r="H86">
        <v>11.09</v>
      </c>
      <c r="I86">
        <v>3.98</v>
      </c>
      <c r="J86">
        <f t="shared" si="1"/>
        <v>15.07</v>
      </c>
      <c r="K86">
        <v>2005</v>
      </c>
      <c r="L86">
        <v>2011</v>
      </c>
    </row>
    <row r="87" spans="1:12" x14ac:dyDescent="0.5">
      <c r="A87" t="s">
        <v>37</v>
      </c>
      <c r="B87" t="s">
        <v>32</v>
      </c>
      <c r="C87" t="s">
        <v>33</v>
      </c>
      <c r="D87">
        <v>1.6</v>
      </c>
      <c r="E87" t="s">
        <v>117</v>
      </c>
      <c r="F87">
        <v>38</v>
      </c>
      <c r="G87">
        <v>99</v>
      </c>
      <c r="H87">
        <v>9.86</v>
      </c>
      <c r="I87">
        <v>3.48</v>
      </c>
      <c r="J87">
        <f t="shared" si="1"/>
        <v>13.34</v>
      </c>
      <c r="K87">
        <v>2005</v>
      </c>
      <c r="L87">
        <v>2011</v>
      </c>
    </row>
    <row r="88" spans="1:12" x14ac:dyDescent="0.5">
      <c r="A88" t="s">
        <v>37</v>
      </c>
      <c r="B88" t="s">
        <v>32</v>
      </c>
      <c r="C88" t="s">
        <v>33</v>
      </c>
      <c r="D88">
        <v>1.7</v>
      </c>
      <c r="E88" t="s">
        <v>116</v>
      </c>
      <c r="F88">
        <v>66.5</v>
      </c>
      <c r="G88">
        <v>247.5</v>
      </c>
      <c r="H88">
        <v>11.09</v>
      </c>
      <c r="I88">
        <v>4.97</v>
      </c>
      <c r="J88">
        <f t="shared" si="1"/>
        <v>16.059999999999999</v>
      </c>
      <c r="K88">
        <v>2005</v>
      </c>
      <c r="L88">
        <v>2011</v>
      </c>
    </row>
    <row r="89" spans="1:12" x14ac:dyDescent="0.5">
      <c r="A89" t="s">
        <v>37</v>
      </c>
      <c r="B89" t="s">
        <v>32</v>
      </c>
      <c r="C89" t="s">
        <v>33</v>
      </c>
      <c r="D89">
        <v>1.8</v>
      </c>
      <c r="E89" t="s">
        <v>115</v>
      </c>
      <c r="F89">
        <v>190</v>
      </c>
      <c r="G89">
        <v>297</v>
      </c>
      <c r="H89">
        <v>30.37</v>
      </c>
      <c r="I89">
        <v>10.02</v>
      </c>
      <c r="J89">
        <f t="shared" si="1"/>
        <v>40.39</v>
      </c>
      <c r="K89">
        <v>2005</v>
      </c>
      <c r="L89">
        <v>2011</v>
      </c>
    </row>
    <row r="90" spans="1:12" x14ac:dyDescent="0.5">
      <c r="A90" t="s">
        <v>37</v>
      </c>
      <c r="B90" t="s">
        <v>32</v>
      </c>
      <c r="C90" t="s">
        <v>33</v>
      </c>
      <c r="D90">
        <v>1.9</v>
      </c>
      <c r="E90" t="s">
        <v>114</v>
      </c>
      <c r="F90">
        <v>0</v>
      </c>
      <c r="G90">
        <v>0</v>
      </c>
      <c r="H90">
        <v>15.68</v>
      </c>
      <c r="I90">
        <v>3.16</v>
      </c>
      <c r="J90">
        <f t="shared" si="1"/>
        <v>18.84</v>
      </c>
      <c r="K90">
        <v>2005</v>
      </c>
      <c r="L90">
        <v>2011</v>
      </c>
    </row>
    <row r="91" spans="1:12" x14ac:dyDescent="0.5">
      <c r="A91" t="s">
        <v>37</v>
      </c>
      <c r="B91" t="s">
        <v>32</v>
      </c>
      <c r="C91" t="s">
        <v>33</v>
      </c>
      <c r="D91">
        <v>1.1000000000000001</v>
      </c>
      <c r="E91" t="s">
        <v>113</v>
      </c>
      <c r="F91">
        <v>0</v>
      </c>
      <c r="G91">
        <v>0</v>
      </c>
      <c r="H91">
        <v>12.34</v>
      </c>
      <c r="I91">
        <v>5.48</v>
      </c>
      <c r="J91">
        <f t="shared" si="1"/>
        <v>17.82</v>
      </c>
      <c r="K91">
        <v>2005</v>
      </c>
      <c r="L91">
        <v>2011</v>
      </c>
    </row>
    <row r="92" spans="1:12" x14ac:dyDescent="0.5">
      <c r="A92" t="s">
        <v>38</v>
      </c>
      <c r="B92" t="s">
        <v>32</v>
      </c>
      <c r="C92" t="s">
        <v>33</v>
      </c>
      <c r="D92">
        <v>1.1000000000000001</v>
      </c>
      <c r="E92" t="s">
        <v>122</v>
      </c>
      <c r="F92">
        <v>189</v>
      </c>
      <c r="G92">
        <v>0</v>
      </c>
      <c r="H92">
        <v>11.56</v>
      </c>
      <c r="I92">
        <v>7</v>
      </c>
      <c r="J92">
        <f t="shared" si="1"/>
        <v>18.560000000000002</v>
      </c>
      <c r="K92">
        <v>2008</v>
      </c>
      <c r="L92">
        <v>2014</v>
      </c>
    </row>
    <row r="93" spans="1:12" x14ac:dyDescent="0.5">
      <c r="A93" t="s">
        <v>38</v>
      </c>
      <c r="B93" t="s">
        <v>32</v>
      </c>
      <c r="C93" t="s">
        <v>33</v>
      </c>
      <c r="D93">
        <v>1.2</v>
      </c>
      <c r="E93" t="s">
        <v>121</v>
      </c>
      <c r="F93">
        <v>63</v>
      </c>
      <c r="G93">
        <v>57</v>
      </c>
      <c r="H93">
        <v>7.22</v>
      </c>
      <c r="I93">
        <v>3.5</v>
      </c>
      <c r="J93">
        <f t="shared" si="1"/>
        <v>10.719999999999999</v>
      </c>
      <c r="K93">
        <v>2008</v>
      </c>
      <c r="L93">
        <v>2014</v>
      </c>
    </row>
    <row r="94" spans="1:12" x14ac:dyDescent="0.5">
      <c r="A94" t="s">
        <v>38</v>
      </c>
      <c r="B94" t="s">
        <v>32</v>
      </c>
      <c r="C94" t="s">
        <v>33</v>
      </c>
      <c r="D94">
        <v>1.3</v>
      </c>
      <c r="E94" t="s">
        <v>120</v>
      </c>
      <c r="F94">
        <v>126</v>
      </c>
      <c r="G94">
        <v>855</v>
      </c>
      <c r="H94">
        <v>14.45</v>
      </c>
      <c r="I94">
        <v>7.58</v>
      </c>
      <c r="J94">
        <f t="shared" si="1"/>
        <v>22.03</v>
      </c>
      <c r="K94">
        <v>2008</v>
      </c>
      <c r="L94">
        <v>2014</v>
      </c>
    </row>
    <row r="95" spans="1:12" x14ac:dyDescent="0.5">
      <c r="A95" t="s">
        <v>38</v>
      </c>
      <c r="B95" t="s">
        <v>32</v>
      </c>
      <c r="C95" t="s">
        <v>33</v>
      </c>
      <c r="D95">
        <v>1.4</v>
      </c>
      <c r="E95" t="s">
        <v>119</v>
      </c>
      <c r="F95">
        <v>105</v>
      </c>
      <c r="G95">
        <v>19</v>
      </c>
      <c r="H95">
        <v>10.11</v>
      </c>
      <c r="I95">
        <v>5.25</v>
      </c>
      <c r="J95">
        <f t="shared" si="1"/>
        <v>15.36</v>
      </c>
      <c r="K95">
        <v>2008</v>
      </c>
      <c r="L95">
        <v>2014</v>
      </c>
    </row>
    <row r="96" spans="1:12" x14ac:dyDescent="0.5">
      <c r="A96" t="s">
        <v>38</v>
      </c>
      <c r="B96" t="s">
        <v>32</v>
      </c>
      <c r="C96" t="s">
        <v>33</v>
      </c>
      <c r="D96">
        <v>1.5</v>
      </c>
      <c r="E96" t="s">
        <v>118</v>
      </c>
      <c r="F96">
        <v>84</v>
      </c>
      <c r="G96">
        <v>95</v>
      </c>
      <c r="H96">
        <v>13</v>
      </c>
      <c r="I96">
        <v>4.66</v>
      </c>
      <c r="J96">
        <f t="shared" si="1"/>
        <v>17.66</v>
      </c>
      <c r="K96">
        <v>2008</v>
      </c>
      <c r="L96">
        <v>2014</v>
      </c>
    </row>
    <row r="97" spans="1:12" x14ac:dyDescent="0.5">
      <c r="A97" t="s">
        <v>38</v>
      </c>
      <c r="B97" t="s">
        <v>32</v>
      </c>
      <c r="C97" t="s">
        <v>33</v>
      </c>
      <c r="D97">
        <v>1.6</v>
      </c>
      <c r="E97" t="s">
        <v>117</v>
      </c>
      <c r="F97">
        <v>42</v>
      </c>
      <c r="G97">
        <v>114</v>
      </c>
      <c r="H97">
        <v>11.56</v>
      </c>
      <c r="I97">
        <v>4.08</v>
      </c>
      <c r="J97">
        <f t="shared" si="1"/>
        <v>15.64</v>
      </c>
      <c r="K97">
        <v>2008</v>
      </c>
      <c r="L97">
        <v>2014</v>
      </c>
    </row>
    <row r="98" spans="1:12" x14ac:dyDescent="0.5">
      <c r="A98" t="s">
        <v>38</v>
      </c>
      <c r="B98" t="s">
        <v>32</v>
      </c>
      <c r="C98" t="s">
        <v>33</v>
      </c>
      <c r="D98">
        <v>1.7</v>
      </c>
      <c r="E98" t="s">
        <v>116</v>
      </c>
      <c r="F98">
        <v>73.5</v>
      </c>
      <c r="G98">
        <v>285</v>
      </c>
      <c r="H98">
        <v>13</v>
      </c>
      <c r="I98">
        <v>5.83</v>
      </c>
      <c r="J98">
        <f t="shared" si="1"/>
        <v>18.829999999999998</v>
      </c>
      <c r="K98">
        <v>2008</v>
      </c>
      <c r="L98">
        <v>2014</v>
      </c>
    </row>
    <row r="99" spans="1:12" x14ac:dyDescent="0.5">
      <c r="A99" t="s">
        <v>38</v>
      </c>
      <c r="B99" t="s">
        <v>32</v>
      </c>
      <c r="C99" t="s">
        <v>33</v>
      </c>
      <c r="D99">
        <v>1.8</v>
      </c>
      <c r="E99" t="s">
        <v>115</v>
      </c>
      <c r="F99">
        <v>210</v>
      </c>
      <c r="G99">
        <v>342</v>
      </c>
      <c r="H99">
        <v>35.6</v>
      </c>
      <c r="I99">
        <v>11.76</v>
      </c>
      <c r="J99">
        <f t="shared" si="1"/>
        <v>47.36</v>
      </c>
      <c r="K99">
        <v>2008</v>
      </c>
      <c r="L99">
        <v>2014</v>
      </c>
    </row>
    <row r="100" spans="1:12" x14ac:dyDescent="0.5">
      <c r="A100" t="s">
        <v>38</v>
      </c>
      <c r="B100" t="s">
        <v>32</v>
      </c>
      <c r="C100" t="s">
        <v>33</v>
      </c>
      <c r="D100">
        <v>1.9</v>
      </c>
      <c r="E100" t="s">
        <v>114</v>
      </c>
      <c r="F100">
        <v>0</v>
      </c>
      <c r="G100">
        <v>0</v>
      </c>
      <c r="H100">
        <v>18.59</v>
      </c>
      <c r="I100">
        <v>3.75</v>
      </c>
      <c r="J100">
        <f t="shared" si="1"/>
        <v>22.34</v>
      </c>
      <c r="K100">
        <v>2008</v>
      </c>
      <c r="L100">
        <v>2014</v>
      </c>
    </row>
    <row r="101" spans="1:12" x14ac:dyDescent="0.5">
      <c r="A101" t="s">
        <v>38</v>
      </c>
      <c r="B101" t="s">
        <v>32</v>
      </c>
      <c r="C101" t="s">
        <v>33</v>
      </c>
      <c r="D101">
        <v>1.1000000000000001</v>
      </c>
      <c r="E101" t="s">
        <v>113</v>
      </c>
      <c r="F101">
        <v>0</v>
      </c>
      <c r="G101">
        <v>0</v>
      </c>
      <c r="H101">
        <v>14.46</v>
      </c>
      <c r="I101">
        <v>6.41</v>
      </c>
      <c r="J101">
        <f t="shared" si="1"/>
        <v>20.87</v>
      </c>
      <c r="K101">
        <v>2008</v>
      </c>
      <c r="L101">
        <v>2014</v>
      </c>
    </row>
    <row r="102" spans="1:12" x14ac:dyDescent="0.5">
      <c r="A102" t="s">
        <v>39</v>
      </c>
      <c r="B102" t="s">
        <v>32</v>
      </c>
      <c r="C102" t="s">
        <v>33</v>
      </c>
      <c r="D102">
        <v>1.1000000000000001</v>
      </c>
      <c r="E102" t="s">
        <v>122</v>
      </c>
      <c r="F102">
        <v>216</v>
      </c>
      <c r="G102">
        <v>0</v>
      </c>
      <c r="H102">
        <v>12.73</v>
      </c>
      <c r="I102">
        <v>7.72</v>
      </c>
      <c r="J102">
        <f t="shared" si="1"/>
        <v>20.45</v>
      </c>
      <c r="K102">
        <v>2011</v>
      </c>
      <c r="L102">
        <v>2018</v>
      </c>
    </row>
    <row r="103" spans="1:12" x14ac:dyDescent="0.5">
      <c r="A103" t="s">
        <v>39</v>
      </c>
      <c r="B103" t="s">
        <v>32</v>
      </c>
      <c r="C103" t="s">
        <v>33</v>
      </c>
      <c r="D103">
        <v>1.2</v>
      </c>
      <c r="E103" t="s">
        <v>121</v>
      </c>
      <c r="F103">
        <v>72</v>
      </c>
      <c r="G103">
        <v>63</v>
      </c>
      <c r="H103">
        <v>7.96</v>
      </c>
      <c r="I103">
        <v>3.86</v>
      </c>
      <c r="J103">
        <f t="shared" si="1"/>
        <v>11.82</v>
      </c>
      <c r="K103">
        <v>2011</v>
      </c>
      <c r="L103">
        <v>2018</v>
      </c>
    </row>
    <row r="104" spans="1:12" x14ac:dyDescent="0.5">
      <c r="A104" t="s">
        <v>39</v>
      </c>
      <c r="B104" t="s">
        <v>32</v>
      </c>
      <c r="C104" t="s">
        <v>33</v>
      </c>
      <c r="D104">
        <v>1.3</v>
      </c>
      <c r="E104" t="s">
        <v>120</v>
      </c>
      <c r="F104">
        <v>144</v>
      </c>
      <c r="G104">
        <v>945</v>
      </c>
      <c r="H104">
        <v>15.91</v>
      </c>
      <c r="I104">
        <v>8.3699999999999992</v>
      </c>
      <c r="J104">
        <f t="shared" si="1"/>
        <v>24.28</v>
      </c>
      <c r="K104">
        <v>2011</v>
      </c>
      <c r="L104">
        <v>2018</v>
      </c>
    </row>
    <row r="105" spans="1:12" x14ac:dyDescent="0.5">
      <c r="A105" t="s">
        <v>39</v>
      </c>
      <c r="B105" t="s">
        <v>32</v>
      </c>
      <c r="C105" t="s">
        <v>33</v>
      </c>
      <c r="D105">
        <v>1.4</v>
      </c>
      <c r="E105" t="s">
        <v>119</v>
      </c>
      <c r="F105">
        <v>120</v>
      </c>
      <c r="G105">
        <v>21</v>
      </c>
      <c r="H105">
        <v>11.14</v>
      </c>
      <c r="I105">
        <v>5.79</v>
      </c>
      <c r="J105">
        <f t="shared" si="1"/>
        <v>16.93</v>
      </c>
      <c r="K105">
        <v>2011</v>
      </c>
      <c r="L105">
        <v>2018</v>
      </c>
    </row>
    <row r="106" spans="1:12" x14ac:dyDescent="0.5">
      <c r="A106" t="s">
        <v>39</v>
      </c>
      <c r="B106" t="s">
        <v>32</v>
      </c>
      <c r="C106" t="s">
        <v>33</v>
      </c>
      <c r="D106">
        <v>1.5</v>
      </c>
      <c r="E106" t="s">
        <v>118</v>
      </c>
      <c r="F106">
        <v>96</v>
      </c>
      <c r="G106">
        <v>105</v>
      </c>
      <c r="H106">
        <v>14.32</v>
      </c>
      <c r="I106">
        <v>5.15</v>
      </c>
      <c r="J106">
        <f t="shared" si="1"/>
        <v>19.47</v>
      </c>
      <c r="K106">
        <v>2011</v>
      </c>
      <c r="L106">
        <v>2018</v>
      </c>
    </row>
    <row r="107" spans="1:12" x14ac:dyDescent="0.5">
      <c r="A107" t="s">
        <v>39</v>
      </c>
      <c r="B107" t="s">
        <v>32</v>
      </c>
      <c r="C107" t="s">
        <v>33</v>
      </c>
      <c r="D107">
        <v>1.6</v>
      </c>
      <c r="E107" t="s">
        <v>117</v>
      </c>
      <c r="F107">
        <v>48</v>
      </c>
      <c r="G107">
        <v>126</v>
      </c>
      <c r="H107">
        <v>12.73</v>
      </c>
      <c r="I107">
        <v>4.51</v>
      </c>
      <c r="J107">
        <f t="shared" si="1"/>
        <v>17.240000000000002</v>
      </c>
      <c r="K107">
        <v>2011</v>
      </c>
      <c r="L107">
        <v>2018</v>
      </c>
    </row>
    <row r="108" spans="1:12" x14ac:dyDescent="0.5">
      <c r="A108" t="s">
        <v>39</v>
      </c>
      <c r="B108" t="s">
        <v>32</v>
      </c>
      <c r="C108" t="s">
        <v>33</v>
      </c>
      <c r="D108">
        <v>1.7</v>
      </c>
      <c r="E108" t="s">
        <v>116</v>
      </c>
      <c r="F108">
        <v>84</v>
      </c>
      <c r="G108">
        <v>315</v>
      </c>
      <c r="H108">
        <v>14.32</v>
      </c>
      <c r="I108">
        <v>6.44</v>
      </c>
      <c r="J108">
        <f t="shared" si="1"/>
        <v>20.76</v>
      </c>
      <c r="K108">
        <v>2011</v>
      </c>
      <c r="L108">
        <v>2018</v>
      </c>
    </row>
    <row r="109" spans="1:12" x14ac:dyDescent="0.5">
      <c r="A109" t="s">
        <v>39</v>
      </c>
      <c r="B109" t="s">
        <v>32</v>
      </c>
      <c r="C109" t="s">
        <v>33</v>
      </c>
      <c r="D109">
        <v>1.8</v>
      </c>
      <c r="E109" t="s">
        <v>115</v>
      </c>
      <c r="F109">
        <v>240</v>
      </c>
      <c r="G109">
        <v>378</v>
      </c>
      <c r="H109">
        <v>40.61</v>
      </c>
      <c r="I109">
        <v>13.44</v>
      </c>
      <c r="J109">
        <f t="shared" si="1"/>
        <v>54.05</v>
      </c>
      <c r="K109">
        <v>2011</v>
      </c>
      <c r="L109">
        <v>2018</v>
      </c>
    </row>
    <row r="110" spans="1:12" x14ac:dyDescent="0.5">
      <c r="A110" t="s">
        <v>39</v>
      </c>
      <c r="B110" t="s">
        <v>32</v>
      </c>
      <c r="C110" t="s">
        <v>33</v>
      </c>
      <c r="D110">
        <v>1.9</v>
      </c>
      <c r="E110" t="s">
        <v>114</v>
      </c>
      <c r="F110">
        <v>0</v>
      </c>
      <c r="G110">
        <v>0</v>
      </c>
      <c r="H110">
        <v>20.78</v>
      </c>
      <c r="I110">
        <v>4.2</v>
      </c>
      <c r="J110">
        <f t="shared" si="1"/>
        <v>24.98</v>
      </c>
      <c r="K110">
        <v>2011</v>
      </c>
      <c r="L110">
        <v>2018</v>
      </c>
    </row>
    <row r="111" spans="1:12" x14ac:dyDescent="0.5">
      <c r="A111" t="s">
        <v>39</v>
      </c>
      <c r="B111" t="s">
        <v>32</v>
      </c>
      <c r="C111" t="s">
        <v>33</v>
      </c>
      <c r="D111">
        <v>1.1000000000000001</v>
      </c>
      <c r="E111" t="s">
        <v>113</v>
      </c>
      <c r="F111">
        <v>0</v>
      </c>
      <c r="G111">
        <v>0</v>
      </c>
      <c r="H111">
        <v>15.91</v>
      </c>
      <c r="I111">
        <v>7.08</v>
      </c>
      <c r="J111">
        <f t="shared" si="1"/>
        <v>22.990000000000002</v>
      </c>
      <c r="K111">
        <v>2011</v>
      </c>
      <c r="L111">
        <v>2018</v>
      </c>
    </row>
    <row r="112" spans="1:12" x14ac:dyDescent="0.5">
      <c r="A112" t="s">
        <v>40</v>
      </c>
      <c r="B112" t="s">
        <v>32</v>
      </c>
      <c r="C112" t="s">
        <v>33</v>
      </c>
      <c r="D112">
        <v>1.1000000000000001</v>
      </c>
      <c r="E112" t="s">
        <v>122</v>
      </c>
      <c r="F112">
        <v>248.4</v>
      </c>
      <c r="G112">
        <v>0</v>
      </c>
      <c r="H112">
        <v>12.83</v>
      </c>
      <c r="I112">
        <v>7.79</v>
      </c>
      <c r="J112">
        <f t="shared" si="1"/>
        <v>20.62</v>
      </c>
      <c r="K112">
        <v>2014</v>
      </c>
      <c r="L112">
        <v>2021</v>
      </c>
    </row>
    <row r="113" spans="1:12" x14ac:dyDescent="0.5">
      <c r="A113" t="s">
        <v>40</v>
      </c>
      <c r="B113" t="s">
        <v>32</v>
      </c>
      <c r="C113" t="s">
        <v>33</v>
      </c>
      <c r="D113">
        <v>1.2</v>
      </c>
      <c r="E113" t="s">
        <v>121</v>
      </c>
      <c r="F113">
        <v>82.8</v>
      </c>
      <c r="G113">
        <v>72</v>
      </c>
      <c r="H113">
        <v>8.02</v>
      </c>
      <c r="I113">
        <v>3.9</v>
      </c>
      <c r="J113">
        <f t="shared" si="1"/>
        <v>11.92</v>
      </c>
      <c r="K113">
        <v>2014</v>
      </c>
      <c r="L113">
        <v>2021</v>
      </c>
    </row>
    <row r="114" spans="1:12" x14ac:dyDescent="0.5">
      <c r="A114" t="s">
        <v>40</v>
      </c>
      <c r="B114" t="s">
        <v>32</v>
      </c>
      <c r="C114" t="s">
        <v>33</v>
      </c>
      <c r="D114">
        <v>1.3</v>
      </c>
      <c r="E114" t="s">
        <v>120</v>
      </c>
      <c r="F114">
        <v>165.6</v>
      </c>
      <c r="G114">
        <v>1080</v>
      </c>
      <c r="H114">
        <v>16.04</v>
      </c>
      <c r="I114">
        <v>8.44</v>
      </c>
      <c r="J114">
        <f t="shared" si="1"/>
        <v>24.479999999999997</v>
      </c>
      <c r="K114">
        <v>2014</v>
      </c>
      <c r="L114">
        <v>2021</v>
      </c>
    </row>
    <row r="115" spans="1:12" x14ac:dyDescent="0.5">
      <c r="A115" t="s">
        <v>40</v>
      </c>
      <c r="B115" t="s">
        <v>32</v>
      </c>
      <c r="C115" t="s">
        <v>33</v>
      </c>
      <c r="D115">
        <v>1.4</v>
      </c>
      <c r="E115" t="s">
        <v>119</v>
      </c>
      <c r="F115">
        <v>138</v>
      </c>
      <c r="G115">
        <v>24</v>
      </c>
      <c r="H115">
        <v>11.23</v>
      </c>
      <c r="I115">
        <v>5.84</v>
      </c>
      <c r="J115">
        <f t="shared" si="1"/>
        <v>17.07</v>
      </c>
      <c r="K115">
        <v>2014</v>
      </c>
      <c r="L115">
        <v>2021</v>
      </c>
    </row>
    <row r="116" spans="1:12" x14ac:dyDescent="0.5">
      <c r="A116" t="s">
        <v>40</v>
      </c>
      <c r="B116" t="s">
        <v>32</v>
      </c>
      <c r="C116" t="s">
        <v>33</v>
      </c>
      <c r="D116">
        <v>1.5</v>
      </c>
      <c r="E116" t="s">
        <v>118</v>
      </c>
      <c r="F116">
        <v>110.4</v>
      </c>
      <c r="G116">
        <v>120</v>
      </c>
      <c r="H116">
        <v>14.44</v>
      </c>
      <c r="I116">
        <v>5.2</v>
      </c>
      <c r="J116">
        <f t="shared" si="1"/>
        <v>19.64</v>
      </c>
      <c r="K116">
        <v>2014</v>
      </c>
      <c r="L116">
        <v>2021</v>
      </c>
    </row>
    <row r="117" spans="1:12" x14ac:dyDescent="0.5">
      <c r="A117" t="s">
        <v>40</v>
      </c>
      <c r="B117" t="s">
        <v>32</v>
      </c>
      <c r="C117" t="s">
        <v>33</v>
      </c>
      <c r="D117">
        <v>1.6</v>
      </c>
      <c r="E117" t="s">
        <v>117</v>
      </c>
      <c r="F117">
        <v>55.2</v>
      </c>
      <c r="G117">
        <v>144</v>
      </c>
      <c r="H117">
        <v>12.83</v>
      </c>
      <c r="I117">
        <v>4.55</v>
      </c>
      <c r="J117">
        <f t="shared" si="1"/>
        <v>17.38</v>
      </c>
      <c r="K117">
        <v>2014</v>
      </c>
      <c r="L117">
        <v>2021</v>
      </c>
    </row>
    <row r="118" spans="1:12" x14ac:dyDescent="0.5">
      <c r="A118" t="s">
        <v>40</v>
      </c>
      <c r="B118" t="s">
        <v>32</v>
      </c>
      <c r="C118" t="s">
        <v>33</v>
      </c>
      <c r="D118">
        <v>1.7</v>
      </c>
      <c r="E118" t="s">
        <v>116</v>
      </c>
      <c r="F118">
        <v>96.6</v>
      </c>
      <c r="G118">
        <v>360</v>
      </c>
      <c r="H118">
        <v>14.44</v>
      </c>
      <c r="I118">
        <v>6.49</v>
      </c>
      <c r="J118">
        <f t="shared" si="1"/>
        <v>20.93</v>
      </c>
      <c r="K118">
        <v>2014</v>
      </c>
      <c r="L118">
        <v>2021</v>
      </c>
    </row>
    <row r="119" spans="1:12" x14ac:dyDescent="0.5">
      <c r="A119" t="s">
        <v>40</v>
      </c>
      <c r="B119" t="s">
        <v>32</v>
      </c>
      <c r="C119" t="s">
        <v>33</v>
      </c>
      <c r="D119">
        <v>1.8</v>
      </c>
      <c r="E119" t="s">
        <v>115</v>
      </c>
      <c r="F119">
        <v>276</v>
      </c>
      <c r="G119">
        <v>432</v>
      </c>
      <c r="H119">
        <v>40.93</v>
      </c>
      <c r="I119">
        <v>13.56</v>
      </c>
      <c r="J119">
        <f t="shared" si="1"/>
        <v>54.49</v>
      </c>
      <c r="K119">
        <v>2014</v>
      </c>
      <c r="L119">
        <v>2021</v>
      </c>
    </row>
    <row r="120" spans="1:12" x14ac:dyDescent="0.5">
      <c r="A120" t="s">
        <v>40</v>
      </c>
      <c r="B120" t="s">
        <v>32</v>
      </c>
      <c r="C120" t="s">
        <v>33</v>
      </c>
      <c r="D120">
        <v>1.9</v>
      </c>
      <c r="E120" t="s">
        <v>114</v>
      </c>
      <c r="F120">
        <v>0</v>
      </c>
      <c r="G120">
        <v>0</v>
      </c>
      <c r="H120">
        <v>21.25</v>
      </c>
      <c r="I120">
        <v>4.3</v>
      </c>
      <c r="J120">
        <f t="shared" si="1"/>
        <v>25.55</v>
      </c>
      <c r="K120">
        <v>2014</v>
      </c>
      <c r="L120">
        <v>2021</v>
      </c>
    </row>
    <row r="121" spans="1:12" x14ac:dyDescent="0.5">
      <c r="A121" t="s">
        <v>40</v>
      </c>
      <c r="B121" t="s">
        <v>32</v>
      </c>
      <c r="C121" t="s">
        <v>33</v>
      </c>
      <c r="D121">
        <v>1.1000000000000001</v>
      </c>
      <c r="E121" t="s">
        <v>113</v>
      </c>
      <c r="F121">
        <v>0</v>
      </c>
      <c r="G121">
        <v>0</v>
      </c>
      <c r="H121">
        <v>16.03</v>
      </c>
      <c r="I121">
        <v>7.15</v>
      </c>
      <c r="J121">
        <f t="shared" si="1"/>
        <v>23.18</v>
      </c>
      <c r="K121">
        <v>2014</v>
      </c>
      <c r="L121">
        <v>2021</v>
      </c>
    </row>
    <row r="122" spans="1:12" x14ac:dyDescent="0.5">
      <c r="A122" t="s">
        <v>41</v>
      </c>
      <c r="B122" t="s">
        <v>32</v>
      </c>
      <c r="C122" t="s">
        <v>33</v>
      </c>
      <c r="D122">
        <v>1.1000000000000001</v>
      </c>
      <c r="E122" t="s">
        <v>122</v>
      </c>
      <c r="F122">
        <v>273.60000000000002</v>
      </c>
      <c r="G122">
        <v>0</v>
      </c>
      <c r="H122">
        <v>13.85</v>
      </c>
      <c r="I122">
        <v>8.43</v>
      </c>
      <c r="J122">
        <f t="shared" si="1"/>
        <v>22.28</v>
      </c>
      <c r="K122">
        <v>2017</v>
      </c>
      <c r="L122">
        <v>2024</v>
      </c>
    </row>
    <row r="123" spans="1:12" x14ac:dyDescent="0.5">
      <c r="A123" t="s">
        <v>41</v>
      </c>
      <c r="B123" t="s">
        <v>32</v>
      </c>
      <c r="C123" t="s">
        <v>33</v>
      </c>
      <c r="D123">
        <v>1.2</v>
      </c>
      <c r="E123" t="s">
        <v>121</v>
      </c>
      <c r="F123">
        <v>91.2</v>
      </c>
      <c r="G123">
        <v>81</v>
      </c>
      <c r="H123">
        <v>8.65</v>
      </c>
      <c r="I123">
        <v>4.21</v>
      </c>
      <c r="J123">
        <f t="shared" si="1"/>
        <v>12.86</v>
      </c>
      <c r="K123">
        <v>2017</v>
      </c>
      <c r="L123">
        <v>2024</v>
      </c>
    </row>
    <row r="124" spans="1:12" x14ac:dyDescent="0.5">
      <c r="A124" t="s">
        <v>41</v>
      </c>
      <c r="B124" t="s">
        <v>32</v>
      </c>
      <c r="C124" t="s">
        <v>33</v>
      </c>
      <c r="D124">
        <v>1.3</v>
      </c>
      <c r="E124" t="s">
        <v>120</v>
      </c>
      <c r="F124">
        <v>182.4</v>
      </c>
      <c r="G124">
        <v>1215</v>
      </c>
      <c r="H124">
        <v>17.309999999999999</v>
      </c>
      <c r="I124">
        <v>9.1300000000000008</v>
      </c>
      <c r="J124">
        <f t="shared" si="1"/>
        <v>26.439999999999998</v>
      </c>
      <c r="K124">
        <v>2017</v>
      </c>
      <c r="L124">
        <v>2024</v>
      </c>
    </row>
    <row r="125" spans="1:12" x14ac:dyDescent="0.5">
      <c r="A125" t="s">
        <v>41</v>
      </c>
      <c r="B125" t="s">
        <v>32</v>
      </c>
      <c r="C125" t="s">
        <v>33</v>
      </c>
      <c r="D125">
        <v>1.4</v>
      </c>
      <c r="E125" t="s">
        <v>119</v>
      </c>
      <c r="F125">
        <v>152</v>
      </c>
      <c r="G125">
        <v>27</v>
      </c>
      <c r="H125">
        <v>12.12</v>
      </c>
      <c r="I125">
        <v>6.32</v>
      </c>
      <c r="J125">
        <f t="shared" si="1"/>
        <v>18.439999999999998</v>
      </c>
      <c r="K125">
        <v>2017</v>
      </c>
      <c r="L125">
        <v>2024</v>
      </c>
    </row>
    <row r="126" spans="1:12" x14ac:dyDescent="0.5">
      <c r="A126" t="s">
        <v>41</v>
      </c>
      <c r="B126" t="s">
        <v>32</v>
      </c>
      <c r="C126" t="s">
        <v>33</v>
      </c>
      <c r="D126">
        <v>1.5</v>
      </c>
      <c r="E126" t="s">
        <v>118</v>
      </c>
      <c r="F126">
        <v>121.6</v>
      </c>
      <c r="G126">
        <v>135</v>
      </c>
      <c r="H126">
        <v>15.58</v>
      </c>
      <c r="I126">
        <v>5.62</v>
      </c>
      <c r="J126">
        <f t="shared" si="1"/>
        <v>21.2</v>
      </c>
      <c r="K126">
        <v>2017</v>
      </c>
      <c r="L126">
        <v>2024</v>
      </c>
    </row>
    <row r="127" spans="1:12" x14ac:dyDescent="0.5">
      <c r="A127" t="s">
        <v>41</v>
      </c>
      <c r="B127" t="s">
        <v>32</v>
      </c>
      <c r="C127" t="s">
        <v>33</v>
      </c>
      <c r="D127">
        <v>1.6</v>
      </c>
      <c r="E127" t="s">
        <v>117</v>
      </c>
      <c r="F127">
        <v>60.8</v>
      </c>
      <c r="G127">
        <v>162</v>
      </c>
      <c r="H127">
        <v>13.85</v>
      </c>
      <c r="I127">
        <v>4.92</v>
      </c>
      <c r="J127">
        <f t="shared" si="1"/>
        <v>18.77</v>
      </c>
      <c r="K127">
        <v>2017</v>
      </c>
      <c r="L127">
        <v>2024</v>
      </c>
    </row>
    <row r="128" spans="1:12" x14ac:dyDescent="0.5">
      <c r="A128" t="s">
        <v>41</v>
      </c>
      <c r="B128" t="s">
        <v>32</v>
      </c>
      <c r="C128" t="s">
        <v>33</v>
      </c>
      <c r="D128">
        <v>1.7</v>
      </c>
      <c r="E128" t="s">
        <v>116</v>
      </c>
      <c r="F128">
        <v>106.4</v>
      </c>
      <c r="G128">
        <v>405</v>
      </c>
      <c r="H128">
        <v>15.58</v>
      </c>
      <c r="I128">
        <v>7.02</v>
      </c>
      <c r="J128">
        <f t="shared" si="1"/>
        <v>22.6</v>
      </c>
      <c r="K128">
        <v>2017</v>
      </c>
      <c r="L128">
        <v>2024</v>
      </c>
    </row>
    <row r="129" spans="1:12" x14ac:dyDescent="0.5">
      <c r="A129" t="s">
        <v>41</v>
      </c>
      <c r="B129" t="s">
        <v>32</v>
      </c>
      <c r="C129" t="s">
        <v>33</v>
      </c>
      <c r="D129">
        <v>1.8</v>
      </c>
      <c r="E129" t="s">
        <v>115</v>
      </c>
      <c r="F129">
        <v>304</v>
      </c>
      <c r="G129">
        <v>486</v>
      </c>
      <c r="H129">
        <v>45.7</v>
      </c>
      <c r="I129">
        <v>15.17</v>
      </c>
      <c r="J129">
        <f t="shared" si="1"/>
        <v>60.870000000000005</v>
      </c>
      <c r="K129">
        <v>2017</v>
      </c>
      <c r="L129">
        <v>2024</v>
      </c>
    </row>
    <row r="130" spans="1:12" x14ac:dyDescent="0.5">
      <c r="A130" t="s">
        <v>41</v>
      </c>
      <c r="B130" t="s">
        <v>32</v>
      </c>
      <c r="C130" t="s">
        <v>33</v>
      </c>
      <c r="D130">
        <v>1.9</v>
      </c>
      <c r="E130" t="s">
        <v>114</v>
      </c>
      <c r="F130">
        <v>0</v>
      </c>
      <c r="G130">
        <v>0</v>
      </c>
      <c r="H130">
        <v>23.26</v>
      </c>
      <c r="I130">
        <v>4.72</v>
      </c>
      <c r="J130">
        <f t="shared" si="1"/>
        <v>27.98</v>
      </c>
      <c r="K130">
        <v>2017</v>
      </c>
      <c r="L130">
        <v>2024</v>
      </c>
    </row>
    <row r="131" spans="1:12" x14ac:dyDescent="0.5">
      <c r="A131" t="s">
        <v>41</v>
      </c>
      <c r="B131" t="s">
        <v>32</v>
      </c>
      <c r="C131" t="s">
        <v>33</v>
      </c>
      <c r="D131">
        <v>1.1000000000000001</v>
      </c>
      <c r="E131" t="s">
        <v>113</v>
      </c>
      <c r="F131">
        <v>0</v>
      </c>
      <c r="G131">
        <v>0</v>
      </c>
      <c r="H131">
        <v>17.3</v>
      </c>
      <c r="I131">
        <v>7.74</v>
      </c>
      <c r="J131">
        <f t="shared" ref="J131:J194" si="2">SUM(H131:I131)</f>
        <v>25.04</v>
      </c>
      <c r="K131">
        <v>2017</v>
      </c>
      <c r="L131">
        <v>2024</v>
      </c>
    </row>
    <row r="132" spans="1:12" x14ac:dyDescent="0.5">
      <c r="A132" t="s">
        <v>42</v>
      </c>
      <c r="B132" t="s">
        <v>43</v>
      </c>
      <c r="C132" t="s">
        <v>44</v>
      </c>
      <c r="D132">
        <v>1.1000000000000001</v>
      </c>
      <c r="E132" t="s">
        <v>122</v>
      </c>
      <c r="F132">
        <v>165.6</v>
      </c>
      <c r="G132">
        <v>0</v>
      </c>
      <c r="H132">
        <v>9.94</v>
      </c>
      <c r="I132">
        <v>5.94</v>
      </c>
      <c r="J132">
        <f t="shared" si="2"/>
        <v>15.879999999999999</v>
      </c>
      <c r="K132">
        <v>1999</v>
      </c>
      <c r="L132">
        <v>2005</v>
      </c>
    </row>
    <row r="133" spans="1:12" x14ac:dyDescent="0.5">
      <c r="A133" t="s">
        <v>42</v>
      </c>
      <c r="B133" t="s">
        <v>43</v>
      </c>
      <c r="C133" t="s">
        <v>44</v>
      </c>
      <c r="D133">
        <v>1.2</v>
      </c>
      <c r="E133" t="s">
        <v>121</v>
      </c>
      <c r="F133">
        <v>55.2</v>
      </c>
      <c r="G133">
        <v>54</v>
      </c>
      <c r="H133">
        <v>6.21</v>
      </c>
      <c r="I133">
        <v>2.97</v>
      </c>
      <c r="J133">
        <f t="shared" si="2"/>
        <v>9.18</v>
      </c>
      <c r="K133">
        <v>1999</v>
      </c>
      <c r="L133">
        <v>2005</v>
      </c>
    </row>
    <row r="134" spans="1:12" x14ac:dyDescent="0.5">
      <c r="A134" t="s">
        <v>42</v>
      </c>
      <c r="B134" t="s">
        <v>43</v>
      </c>
      <c r="C134" t="s">
        <v>44</v>
      </c>
      <c r="D134">
        <v>1.3</v>
      </c>
      <c r="E134" t="s">
        <v>120</v>
      </c>
      <c r="F134">
        <v>110.4</v>
      </c>
      <c r="G134">
        <v>810</v>
      </c>
      <c r="H134">
        <v>12.42</v>
      </c>
      <c r="I134">
        <v>6.43</v>
      </c>
      <c r="J134">
        <f t="shared" si="2"/>
        <v>18.850000000000001</v>
      </c>
      <c r="K134">
        <v>1999</v>
      </c>
      <c r="L134">
        <v>2005</v>
      </c>
    </row>
    <row r="135" spans="1:12" x14ac:dyDescent="0.5">
      <c r="A135" t="s">
        <v>42</v>
      </c>
      <c r="B135" t="s">
        <v>43</v>
      </c>
      <c r="C135" t="s">
        <v>44</v>
      </c>
      <c r="D135">
        <v>1.4</v>
      </c>
      <c r="E135" t="s">
        <v>119</v>
      </c>
      <c r="F135">
        <v>92</v>
      </c>
      <c r="G135">
        <v>18</v>
      </c>
      <c r="H135">
        <v>8.69</v>
      </c>
      <c r="I135">
        <v>4.45</v>
      </c>
      <c r="J135">
        <f t="shared" si="2"/>
        <v>13.14</v>
      </c>
      <c r="K135">
        <v>1999</v>
      </c>
      <c r="L135">
        <v>2005</v>
      </c>
    </row>
    <row r="136" spans="1:12" x14ac:dyDescent="0.5">
      <c r="A136" t="s">
        <v>42</v>
      </c>
      <c r="B136" t="s">
        <v>43</v>
      </c>
      <c r="C136" t="s">
        <v>44</v>
      </c>
      <c r="D136">
        <v>1.5</v>
      </c>
      <c r="E136" t="s">
        <v>118</v>
      </c>
      <c r="F136">
        <v>73.599999999999994</v>
      </c>
      <c r="G136">
        <v>90</v>
      </c>
      <c r="H136">
        <v>11.18</v>
      </c>
      <c r="I136">
        <v>3.96</v>
      </c>
      <c r="J136">
        <f t="shared" si="2"/>
        <v>15.14</v>
      </c>
      <c r="K136">
        <v>1999</v>
      </c>
      <c r="L136">
        <v>2005</v>
      </c>
    </row>
    <row r="137" spans="1:12" x14ac:dyDescent="0.5">
      <c r="A137" t="s">
        <v>42</v>
      </c>
      <c r="B137" t="s">
        <v>43</v>
      </c>
      <c r="C137" t="s">
        <v>44</v>
      </c>
      <c r="D137">
        <v>1.6</v>
      </c>
      <c r="E137" t="s">
        <v>117</v>
      </c>
      <c r="F137">
        <v>36.799999999999997</v>
      </c>
      <c r="G137">
        <v>108</v>
      </c>
      <c r="H137">
        <v>9.94</v>
      </c>
      <c r="I137">
        <v>3.46</v>
      </c>
      <c r="J137">
        <f t="shared" si="2"/>
        <v>13.399999999999999</v>
      </c>
      <c r="K137">
        <v>1999</v>
      </c>
      <c r="L137">
        <v>2005</v>
      </c>
    </row>
    <row r="138" spans="1:12" x14ac:dyDescent="0.5">
      <c r="A138" t="s">
        <v>42</v>
      </c>
      <c r="B138" t="s">
        <v>43</v>
      </c>
      <c r="C138" t="s">
        <v>44</v>
      </c>
      <c r="D138">
        <v>1.7</v>
      </c>
      <c r="E138" t="s">
        <v>116</v>
      </c>
      <c r="F138">
        <v>64.400000000000006</v>
      </c>
      <c r="G138">
        <v>270</v>
      </c>
      <c r="H138">
        <v>11.18</v>
      </c>
      <c r="I138">
        <v>4.95</v>
      </c>
      <c r="J138">
        <f t="shared" si="2"/>
        <v>16.13</v>
      </c>
      <c r="K138">
        <v>1999</v>
      </c>
      <c r="L138">
        <v>2005</v>
      </c>
    </row>
    <row r="139" spans="1:12" x14ac:dyDescent="0.5">
      <c r="A139" t="s">
        <v>42</v>
      </c>
      <c r="B139" t="s">
        <v>43</v>
      </c>
      <c r="C139" t="s">
        <v>44</v>
      </c>
      <c r="D139">
        <v>1.8</v>
      </c>
      <c r="E139" t="s">
        <v>115</v>
      </c>
      <c r="F139">
        <v>184</v>
      </c>
      <c r="G139">
        <v>324</v>
      </c>
      <c r="H139">
        <v>25.14</v>
      </c>
      <c r="I139">
        <v>8.1999999999999993</v>
      </c>
      <c r="J139">
        <f t="shared" si="2"/>
        <v>33.340000000000003</v>
      </c>
      <c r="K139">
        <v>1999</v>
      </c>
      <c r="L139">
        <v>2005</v>
      </c>
    </row>
    <row r="140" spans="1:12" x14ac:dyDescent="0.5">
      <c r="A140" t="s">
        <v>42</v>
      </c>
      <c r="B140" t="s">
        <v>43</v>
      </c>
      <c r="C140" t="s">
        <v>44</v>
      </c>
      <c r="D140">
        <v>1.9</v>
      </c>
      <c r="E140" t="s">
        <v>114</v>
      </c>
      <c r="F140">
        <v>0</v>
      </c>
      <c r="G140">
        <v>0</v>
      </c>
      <c r="H140">
        <v>14.78</v>
      </c>
      <c r="I140">
        <v>2.95</v>
      </c>
      <c r="J140">
        <f t="shared" si="2"/>
        <v>17.73</v>
      </c>
      <c r="K140">
        <v>1999</v>
      </c>
      <c r="L140">
        <v>2005</v>
      </c>
    </row>
    <row r="141" spans="1:12" x14ac:dyDescent="0.5">
      <c r="A141" t="s">
        <v>42</v>
      </c>
      <c r="B141" t="s">
        <v>43</v>
      </c>
      <c r="C141" t="s">
        <v>44</v>
      </c>
      <c r="D141">
        <v>1.1000000000000001</v>
      </c>
      <c r="E141" t="s">
        <v>113</v>
      </c>
      <c r="F141">
        <v>0</v>
      </c>
      <c r="G141">
        <v>0</v>
      </c>
      <c r="H141">
        <v>12.41</v>
      </c>
      <c r="I141">
        <v>5.45</v>
      </c>
      <c r="J141">
        <f t="shared" si="2"/>
        <v>17.86</v>
      </c>
      <c r="K141">
        <v>1999</v>
      </c>
      <c r="L141">
        <v>2005</v>
      </c>
    </row>
    <row r="142" spans="1:12" x14ac:dyDescent="0.5">
      <c r="A142" t="s">
        <v>45</v>
      </c>
      <c r="B142" t="s">
        <v>43</v>
      </c>
      <c r="C142" t="s">
        <v>44</v>
      </c>
      <c r="D142">
        <v>1.1000000000000001</v>
      </c>
      <c r="E142" t="s">
        <v>122</v>
      </c>
      <c r="F142">
        <v>172.8</v>
      </c>
      <c r="G142">
        <v>0</v>
      </c>
      <c r="H142">
        <v>10.27</v>
      </c>
      <c r="I142">
        <v>6.14</v>
      </c>
      <c r="J142">
        <f t="shared" si="2"/>
        <v>16.41</v>
      </c>
      <c r="K142">
        <v>2001</v>
      </c>
      <c r="L142">
        <v>2007</v>
      </c>
    </row>
    <row r="143" spans="1:12" x14ac:dyDescent="0.5">
      <c r="A143" t="s">
        <v>45</v>
      </c>
      <c r="B143" t="s">
        <v>43</v>
      </c>
      <c r="C143" t="s">
        <v>44</v>
      </c>
      <c r="D143">
        <v>1.2</v>
      </c>
      <c r="E143" t="s">
        <v>121</v>
      </c>
      <c r="F143">
        <v>57.6</v>
      </c>
      <c r="G143">
        <v>55.5</v>
      </c>
      <c r="H143">
        <v>6.42</v>
      </c>
      <c r="I143">
        <v>3.07</v>
      </c>
      <c r="J143">
        <f t="shared" si="2"/>
        <v>9.49</v>
      </c>
      <c r="K143">
        <v>2001</v>
      </c>
      <c r="L143">
        <v>2007</v>
      </c>
    </row>
    <row r="144" spans="1:12" x14ac:dyDescent="0.5">
      <c r="A144" t="s">
        <v>45</v>
      </c>
      <c r="B144" t="s">
        <v>43</v>
      </c>
      <c r="C144" t="s">
        <v>44</v>
      </c>
      <c r="D144">
        <v>1.3</v>
      </c>
      <c r="E144" t="s">
        <v>120</v>
      </c>
      <c r="F144">
        <v>115.2</v>
      </c>
      <c r="G144">
        <v>832.5</v>
      </c>
      <c r="H144">
        <v>12.83</v>
      </c>
      <c r="I144">
        <v>6.65</v>
      </c>
      <c r="J144">
        <f t="shared" si="2"/>
        <v>19.48</v>
      </c>
      <c r="K144">
        <v>2001</v>
      </c>
      <c r="L144">
        <v>2007</v>
      </c>
    </row>
    <row r="145" spans="1:12" x14ac:dyDescent="0.5">
      <c r="A145" t="s">
        <v>45</v>
      </c>
      <c r="B145" t="s">
        <v>43</v>
      </c>
      <c r="C145" t="s">
        <v>44</v>
      </c>
      <c r="D145">
        <v>1.4</v>
      </c>
      <c r="E145" t="s">
        <v>119</v>
      </c>
      <c r="F145">
        <v>96</v>
      </c>
      <c r="G145">
        <v>18.5</v>
      </c>
      <c r="H145">
        <v>8.98</v>
      </c>
      <c r="I145">
        <v>4.5999999999999996</v>
      </c>
      <c r="J145">
        <f t="shared" si="2"/>
        <v>13.58</v>
      </c>
      <c r="K145">
        <v>2001</v>
      </c>
      <c r="L145">
        <v>2007</v>
      </c>
    </row>
    <row r="146" spans="1:12" x14ac:dyDescent="0.5">
      <c r="A146" t="s">
        <v>45</v>
      </c>
      <c r="B146" t="s">
        <v>43</v>
      </c>
      <c r="C146" t="s">
        <v>44</v>
      </c>
      <c r="D146">
        <v>1.5</v>
      </c>
      <c r="E146" t="s">
        <v>118</v>
      </c>
      <c r="F146">
        <v>76.8</v>
      </c>
      <c r="G146">
        <v>92.5</v>
      </c>
      <c r="H146">
        <v>11.55</v>
      </c>
      <c r="I146">
        <v>4.09</v>
      </c>
      <c r="J146">
        <f t="shared" si="2"/>
        <v>15.64</v>
      </c>
      <c r="K146">
        <v>2001</v>
      </c>
      <c r="L146">
        <v>2007</v>
      </c>
    </row>
    <row r="147" spans="1:12" x14ac:dyDescent="0.5">
      <c r="A147" t="s">
        <v>45</v>
      </c>
      <c r="B147" t="s">
        <v>43</v>
      </c>
      <c r="C147" t="s">
        <v>44</v>
      </c>
      <c r="D147">
        <v>1.6</v>
      </c>
      <c r="E147" t="s">
        <v>117</v>
      </c>
      <c r="F147">
        <v>38.4</v>
      </c>
      <c r="G147">
        <v>111</v>
      </c>
      <c r="H147">
        <v>10.27</v>
      </c>
      <c r="I147">
        <v>3.58</v>
      </c>
      <c r="J147">
        <f t="shared" si="2"/>
        <v>13.85</v>
      </c>
      <c r="K147">
        <v>2001</v>
      </c>
      <c r="L147">
        <v>2007</v>
      </c>
    </row>
    <row r="148" spans="1:12" x14ac:dyDescent="0.5">
      <c r="A148" t="s">
        <v>45</v>
      </c>
      <c r="B148" t="s">
        <v>43</v>
      </c>
      <c r="C148" t="s">
        <v>44</v>
      </c>
      <c r="D148">
        <v>1.7</v>
      </c>
      <c r="E148" t="s">
        <v>116</v>
      </c>
      <c r="F148">
        <v>67.2</v>
      </c>
      <c r="G148">
        <v>277.5</v>
      </c>
      <c r="H148">
        <v>11.55</v>
      </c>
      <c r="I148">
        <v>5.1100000000000003</v>
      </c>
      <c r="J148">
        <f t="shared" si="2"/>
        <v>16.66</v>
      </c>
      <c r="K148">
        <v>2001</v>
      </c>
      <c r="L148">
        <v>2007</v>
      </c>
    </row>
    <row r="149" spans="1:12" x14ac:dyDescent="0.5">
      <c r="A149" t="s">
        <v>45</v>
      </c>
      <c r="B149" t="s">
        <v>43</v>
      </c>
      <c r="C149" t="s">
        <v>44</v>
      </c>
      <c r="D149">
        <v>1.8</v>
      </c>
      <c r="E149" t="s">
        <v>115</v>
      </c>
      <c r="F149">
        <v>192</v>
      </c>
      <c r="G149">
        <v>333</v>
      </c>
      <c r="H149">
        <v>25.97</v>
      </c>
      <c r="I149">
        <v>8.4700000000000006</v>
      </c>
      <c r="J149">
        <f t="shared" si="2"/>
        <v>34.44</v>
      </c>
      <c r="K149">
        <v>2001</v>
      </c>
      <c r="L149">
        <v>2007</v>
      </c>
    </row>
    <row r="150" spans="1:12" x14ac:dyDescent="0.5">
      <c r="A150" t="s">
        <v>45</v>
      </c>
      <c r="B150" t="s">
        <v>43</v>
      </c>
      <c r="C150" t="s">
        <v>44</v>
      </c>
      <c r="D150">
        <v>1.9</v>
      </c>
      <c r="E150" t="s">
        <v>114</v>
      </c>
      <c r="F150">
        <v>0</v>
      </c>
      <c r="G150">
        <v>0</v>
      </c>
      <c r="H150">
        <v>15.34</v>
      </c>
      <c r="I150">
        <v>3.06</v>
      </c>
      <c r="J150">
        <f t="shared" si="2"/>
        <v>18.399999999999999</v>
      </c>
      <c r="K150">
        <v>2001</v>
      </c>
      <c r="L150">
        <v>2007</v>
      </c>
    </row>
    <row r="151" spans="1:12" x14ac:dyDescent="0.5">
      <c r="A151" t="s">
        <v>45</v>
      </c>
      <c r="B151" t="s">
        <v>43</v>
      </c>
      <c r="C151" t="s">
        <v>44</v>
      </c>
      <c r="D151">
        <v>1.1000000000000001</v>
      </c>
      <c r="E151" t="s">
        <v>113</v>
      </c>
      <c r="F151">
        <v>0</v>
      </c>
      <c r="G151">
        <v>0</v>
      </c>
      <c r="H151">
        <v>12.82</v>
      </c>
      <c r="I151">
        <v>5.63</v>
      </c>
      <c r="J151">
        <f t="shared" si="2"/>
        <v>18.45</v>
      </c>
      <c r="K151">
        <v>2001</v>
      </c>
      <c r="L151">
        <v>2007</v>
      </c>
    </row>
    <row r="152" spans="1:12" x14ac:dyDescent="0.5">
      <c r="A152" t="s">
        <v>46</v>
      </c>
      <c r="B152" t="s">
        <v>43</v>
      </c>
      <c r="C152" t="s">
        <v>44</v>
      </c>
      <c r="D152">
        <v>1.1000000000000001</v>
      </c>
      <c r="E152" t="s">
        <v>122</v>
      </c>
      <c r="F152">
        <v>183.6</v>
      </c>
      <c r="G152">
        <v>0</v>
      </c>
      <c r="H152">
        <v>11.42</v>
      </c>
      <c r="I152">
        <v>6.85</v>
      </c>
      <c r="J152">
        <f t="shared" si="2"/>
        <v>18.27</v>
      </c>
      <c r="K152">
        <v>2003</v>
      </c>
      <c r="L152">
        <v>2009</v>
      </c>
    </row>
    <row r="153" spans="1:12" x14ac:dyDescent="0.5">
      <c r="A153" t="s">
        <v>46</v>
      </c>
      <c r="B153" t="s">
        <v>43</v>
      </c>
      <c r="C153" t="s">
        <v>44</v>
      </c>
      <c r="D153">
        <v>1.2</v>
      </c>
      <c r="E153" t="s">
        <v>121</v>
      </c>
      <c r="F153">
        <v>61.2</v>
      </c>
      <c r="G153">
        <v>58.5</v>
      </c>
      <c r="H153">
        <v>7.14</v>
      </c>
      <c r="I153">
        <v>3.42</v>
      </c>
      <c r="J153">
        <f t="shared" si="2"/>
        <v>10.559999999999999</v>
      </c>
      <c r="K153">
        <v>2003</v>
      </c>
      <c r="L153">
        <v>2009</v>
      </c>
    </row>
    <row r="154" spans="1:12" x14ac:dyDescent="0.5">
      <c r="A154" t="s">
        <v>46</v>
      </c>
      <c r="B154" t="s">
        <v>43</v>
      </c>
      <c r="C154" t="s">
        <v>44</v>
      </c>
      <c r="D154">
        <v>1.3</v>
      </c>
      <c r="E154" t="s">
        <v>120</v>
      </c>
      <c r="F154">
        <v>122.4</v>
      </c>
      <c r="G154">
        <v>877.5</v>
      </c>
      <c r="H154">
        <v>14.28</v>
      </c>
      <c r="I154">
        <v>7.42</v>
      </c>
      <c r="J154">
        <f t="shared" si="2"/>
        <v>21.7</v>
      </c>
      <c r="K154">
        <v>2003</v>
      </c>
      <c r="L154">
        <v>2009</v>
      </c>
    </row>
    <row r="155" spans="1:12" x14ac:dyDescent="0.5">
      <c r="A155" t="s">
        <v>46</v>
      </c>
      <c r="B155" t="s">
        <v>43</v>
      </c>
      <c r="C155" t="s">
        <v>44</v>
      </c>
      <c r="D155">
        <v>1.4</v>
      </c>
      <c r="E155" t="s">
        <v>119</v>
      </c>
      <c r="F155">
        <v>102</v>
      </c>
      <c r="G155">
        <v>19.5</v>
      </c>
      <c r="H155">
        <v>10</v>
      </c>
      <c r="I155">
        <v>5.13</v>
      </c>
      <c r="J155">
        <f t="shared" si="2"/>
        <v>15.129999999999999</v>
      </c>
      <c r="K155">
        <v>2003</v>
      </c>
      <c r="L155">
        <v>2009</v>
      </c>
    </row>
    <row r="156" spans="1:12" x14ac:dyDescent="0.5">
      <c r="A156" t="s">
        <v>46</v>
      </c>
      <c r="B156" t="s">
        <v>43</v>
      </c>
      <c r="C156" t="s">
        <v>44</v>
      </c>
      <c r="D156">
        <v>1.5</v>
      </c>
      <c r="E156" t="s">
        <v>118</v>
      </c>
      <c r="F156">
        <v>81.599999999999994</v>
      </c>
      <c r="G156">
        <v>97.5</v>
      </c>
      <c r="H156">
        <v>12.85</v>
      </c>
      <c r="I156">
        <v>4.5599999999999996</v>
      </c>
      <c r="J156">
        <f t="shared" si="2"/>
        <v>17.41</v>
      </c>
      <c r="K156">
        <v>2003</v>
      </c>
      <c r="L156">
        <v>2009</v>
      </c>
    </row>
    <row r="157" spans="1:12" x14ac:dyDescent="0.5">
      <c r="A157" t="s">
        <v>46</v>
      </c>
      <c r="B157" t="s">
        <v>43</v>
      </c>
      <c r="C157" t="s">
        <v>44</v>
      </c>
      <c r="D157">
        <v>1.6</v>
      </c>
      <c r="E157" t="s">
        <v>117</v>
      </c>
      <c r="F157">
        <v>40.799999999999997</v>
      </c>
      <c r="G157">
        <v>117</v>
      </c>
      <c r="H157">
        <v>11.42</v>
      </c>
      <c r="I157">
        <v>3.99</v>
      </c>
      <c r="J157">
        <f t="shared" si="2"/>
        <v>15.41</v>
      </c>
      <c r="K157">
        <v>2003</v>
      </c>
      <c r="L157">
        <v>2009</v>
      </c>
    </row>
    <row r="158" spans="1:12" x14ac:dyDescent="0.5">
      <c r="A158" t="s">
        <v>46</v>
      </c>
      <c r="B158" t="s">
        <v>43</v>
      </c>
      <c r="C158" t="s">
        <v>44</v>
      </c>
      <c r="D158">
        <v>1.7</v>
      </c>
      <c r="E158" t="s">
        <v>116</v>
      </c>
      <c r="F158">
        <v>71.400000000000006</v>
      </c>
      <c r="G158">
        <v>292.5</v>
      </c>
      <c r="H158">
        <v>12.85</v>
      </c>
      <c r="I158">
        <v>5.7</v>
      </c>
      <c r="J158">
        <f t="shared" si="2"/>
        <v>18.55</v>
      </c>
      <c r="K158">
        <v>2003</v>
      </c>
      <c r="L158">
        <v>2009</v>
      </c>
    </row>
    <row r="159" spans="1:12" x14ac:dyDescent="0.5">
      <c r="A159" t="s">
        <v>46</v>
      </c>
      <c r="B159" t="s">
        <v>43</v>
      </c>
      <c r="C159" t="s">
        <v>44</v>
      </c>
      <c r="D159">
        <v>1.8</v>
      </c>
      <c r="E159" t="s">
        <v>115</v>
      </c>
      <c r="F159">
        <v>204</v>
      </c>
      <c r="G159">
        <v>351</v>
      </c>
      <c r="H159">
        <v>30.16</v>
      </c>
      <c r="I159">
        <v>9.86</v>
      </c>
      <c r="J159">
        <f t="shared" si="2"/>
        <v>40.019999999999996</v>
      </c>
      <c r="K159">
        <v>2003</v>
      </c>
      <c r="L159">
        <v>2009</v>
      </c>
    </row>
    <row r="160" spans="1:12" x14ac:dyDescent="0.5">
      <c r="A160" t="s">
        <v>46</v>
      </c>
      <c r="B160" t="s">
        <v>43</v>
      </c>
      <c r="C160" t="s">
        <v>44</v>
      </c>
      <c r="D160">
        <v>1.9</v>
      </c>
      <c r="E160" t="s">
        <v>114</v>
      </c>
      <c r="F160">
        <v>0</v>
      </c>
      <c r="G160">
        <v>0</v>
      </c>
      <c r="H160">
        <v>17.21</v>
      </c>
      <c r="I160">
        <v>3.44</v>
      </c>
      <c r="J160">
        <f t="shared" si="2"/>
        <v>20.650000000000002</v>
      </c>
      <c r="K160">
        <v>2003</v>
      </c>
      <c r="L160">
        <v>2009</v>
      </c>
    </row>
    <row r="161" spans="1:12" x14ac:dyDescent="0.5">
      <c r="A161" t="s">
        <v>46</v>
      </c>
      <c r="B161" t="s">
        <v>43</v>
      </c>
      <c r="C161" t="s">
        <v>44</v>
      </c>
      <c r="D161">
        <v>1.1000000000000001</v>
      </c>
      <c r="E161" t="s">
        <v>113</v>
      </c>
      <c r="F161">
        <v>0</v>
      </c>
      <c r="G161">
        <v>0</v>
      </c>
      <c r="H161">
        <v>14.29</v>
      </c>
      <c r="I161">
        <v>6.28</v>
      </c>
      <c r="J161">
        <f t="shared" si="2"/>
        <v>20.57</v>
      </c>
      <c r="K161">
        <v>2003</v>
      </c>
      <c r="L161">
        <v>2009</v>
      </c>
    </row>
    <row r="162" spans="1:12" x14ac:dyDescent="0.5">
      <c r="A162" t="s">
        <v>47</v>
      </c>
      <c r="B162" t="s">
        <v>43</v>
      </c>
      <c r="C162" t="s">
        <v>44</v>
      </c>
      <c r="D162">
        <v>1.1000000000000001</v>
      </c>
      <c r="E162" t="s">
        <v>122</v>
      </c>
      <c r="F162">
        <v>194.4</v>
      </c>
      <c r="G162">
        <v>0</v>
      </c>
      <c r="H162">
        <v>11.97</v>
      </c>
      <c r="I162">
        <v>7.17</v>
      </c>
      <c r="J162">
        <f t="shared" si="2"/>
        <v>19.14</v>
      </c>
      <c r="K162">
        <v>2006</v>
      </c>
      <c r="L162">
        <v>2012</v>
      </c>
    </row>
    <row r="163" spans="1:12" x14ac:dyDescent="0.5">
      <c r="A163" t="s">
        <v>47</v>
      </c>
      <c r="B163" t="s">
        <v>43</v>
      </c>
      <c r="C163" t="s">
        <v>44</v>
      </c>
      <c r="D163">
        <v>1.2</v>
      </c>
      <c r="E163" t="s">
        <v>121</v>
      </c>
      <c r="F163">
        <v>64.8</v>
      </c>
      <c r="G163">
        <v>61.5</v>
      </c>
      <c r="H163">
        <v>7.48</v>
      </c>
      <c r="I163">
        <v>3.59</v>
      </c>
      <c r="J163">
        <f t="shared" si="2"/>
        <v>11.07</v>
      </c>
      <c r="K163">
        <v>2006</v>
      </c>
      <c r="L163">
        <v>2012</v>
      </c>
    </row>
    <row r="164" spans="1:12" x14ac:dyDescent="0.5">
      <c r="A164" t="s">
        <v>47</v>
      </c>
      <c r="B164" t="s">
        <v>43</v>
      </c>
      <c r="C164" t="s">
        <v>44</v>
      </c>
      <c r="D164">
        <v>1.3</v>
      </c>
      <c r="E164" t="s">
        <v>120</v>
      </c>
      <c r="F164">
        <v>129.6</v>
      </c>
      <c r="G164">
        <v>922.5</v>
      </c>
      <c r="H164">
        <v>14.96</v>
      </c>
      <c r="I164">
        <v>7.77</v>
      </c>
      <c r="J164">
        <f t="shared" si="2"/>
        <v>22.73</v>
      </c>
      <c r="K164">
        <v>2006</v>
      </c>
      <c r="L164">
        <v>2012</v>
      </c>
    </row>
    <row r="165" spans="1:12" x14ac:dyDescent="0.5">
      <c r="A165" t="s">
        <v>47</v>
      </c>
      <c r="B165" t="s">
        <v>43</v>
      </c>
      <c r="C165" t="s">
        <v>44</v>
      </c>
      <c r="D165">
        <v>1.4</v>
      </c>
      <c r="E165" t="s">
        <v>119</v>
      </c>
      <c r="F165">
        <v>108</v>
      </c>
      <c r="G165">
        <v>20.5</v>
      </c>
      <c r="H165">
        <v>10.47</v>
      </c>
      <c r="I165">
        <v>5.38</v>
      </c>
      <c r="J165">
        <f t="shared" si="2"/>
        <v>15.850000000000001</v>
      </c>
      <c r="K165">
        <v>2006</v>
      </c>
      <c r="L165">
        <v>2012</v>
      </c>
    </row>
    <row r="166" spans="1:12" x14ac:dyDescent="0.5">
      <c r="A166" t="s">
        <v>47</v>
      </c>
      <c r="B166" t="s">
        <v>43</v>
      </c>
      <c r="C166" t="s">
        <v>44</v>
      </c>
      <c r="D166">
        <v>1.5</v>
      </c>
      <c r="E166" t="s">
        <v>118</v>
      </c>
      <c r="F166">
        <v>86.4</v>
      </c>
      <c r="G166">
        <v>102.5</v>
      </c>
      <c r="H166">
        <v>13.47</v>
      </c>
      <c r="I166">
        <v>4.78</v>
      </c>
      <c r="J166">
        <f t="shared" si="2"/>
        <v>18.25</v>
      </c>
      <c r="K166">
        <v>2006</v>
      </c>
      <c r="L166">
        <v>2012</v>
      </c>
    </row>
    <row r="167" spans="1:12" x14ac:dyDescent="0.5">
      <c r="A167" t="s">
        <v>47</v>
      </c>
      <c r="B167" t="s">
        <v>43</v>
      </c>
      <c r="C167" t="s">
        <v>44</v>
      </c>
      <c r="D167">
        <v>1.6</v>
      </c>
      <c r="E167" t="s">
        <v>117</v>
      </c>
      <c r="F167">
        <v>43.2</v>
      </c>
      <c r="G167">
        <v>123</v>
      </c>
      <c r="H167">
        <v>11.97</v>
      </c>
      <c r="I167">
        <v>4.18</v>
      </c>
      <c r="J167">
        <f t="shared" si="2"/>
        <v>16.149999999999999</v>
      </c>
      <c r="K167">
        <v>2006</v>
      </c>
      <c r="L167">
        <v>2012</v>
      </c>
    </row>
    <row r="168" spans="1:12" x14ac:dyDescent="0.5">
      <c r="A168" t="s">
        <v>47</v>
      </c>
      <c r="B168" t="s">
        <v>43</v>
      </c>
      <c r="C168" t="s">
        <v>44</v>
      </c>
      <c r="D168">
        <v>1.7</v>
      </c>
      <c r="E168" t="s">
        <v>116</v>
      </c>
      <c r="F168">
        <v>75.599999999999994</v>
      </c>
      <c r="G168">
        <v>307.5</v>
      </c>
      <c r="H168">
        <v>13.47</v>
      </c>
      <c r="I168">
        <v>5.98</v>
      </c>
      <c r="J168">
        <f t="shared" si="2"/>
        <v>19.450000000000003</v>
      </c>
      <c r="K168">
        <v>2006</v>
      </c>
      <c r="L168">
        <v>2012</v>
      </c>
    </row>
    <row r="169" spans="1:12" x14ac:dyDescent="0.5">
      <c r="A169" t="s">
        <v>47</v>
      </c>
      <c r="B169" t="s">
        <v>43</v>
      </c>
      <c r="C169" t="s">
        <v>44</v>
      </c>
      <c r="D169">
        <v>1.8</v>
      </c>
      <c r="E169" t="s">
        <v>115</v>
      </c>
      <c r="F169">
        <v>216</v>
      </c>
      <c r="G169">
        <v>369</v>
      </c>
      <c r="H169">
        <v>31.6</v>
      </c>
      <c r="I169">
        <v>10.33</v>
      </c>
      <c r="J169">
        <f t="shared" si="2"/>
        <v>41.93</v>
      </c>
      <c r="K169">
        <v>2006</v>
      </c>
      <c r="L169">
        <v>2012</v>
      </c>
    </row>
    <row r="170" spans="1:12" x14ac:dyDescent="0.5">
      <c r="A170" t="s">
        <v>47</v>
      </c>
      <c r="B170" t="s">
        <v>43</v>
      </c>
      <c r="C170" t="s">
        <v>44</v>
      </c>
      <c r="D170">
        <v>1.9</v>
      </c>
      <c r="E170" t="s">
        <v>114</v>
      </c>
      <c r="F170">
        <v>0</v>
      </c>
      <c r="G170">
        <v>0</v>
      </c>
      <c r="H170">
        <v>18.100000000000001</v>
      </c>
      <c r="I170">
        <v>3.62</v>
      </c>
      <c r="J170">
        <f t="shared" si="2"/>
        <v>21.720000000000002</v>
      </c>
      <c r="K170">
        <v>2006</v>
      </c>
      <c r="L170">
        <v>2012</v>
      </c>
    </row>
    <row r="171" spans="1:12" x14ac:dyDescent="0.5">
      <c r="A171" t="s">
        <v>47</v>
      </c>
      <c r="B171" t="s">
        <v>43</v>
      </c>
      <c r="C171" t="s">
        <v>44</v>
      </c>
      <c r="D171">
        <v>1.1000000000000001</v>
      </c>
      <c r="E171" t="s">
        <v>113</v>
      </c>
      <c r="F171">
        <v>0</v>
      </c>
      <c r="G171">
        <v>0</v>
      </c>
      <c r="H171">
        <v>14.97</v>
      </c>
      <c r="I171">
        <v>6.58</v>
      </c>
      <c r="J171">
        <f t="shared" si="2"/>
        <v>21.55</v>
      </c>
      <c r="K171">
        <v>2006</v>
      </c>
      <c r="L171">
        <v>2012</v>
      </c>
    </row>
    <row r="172" spans="1:12" x14ac:dyDescent="0.5">
      <c r="A172" t="s">
        <v>48</v>
      </c>
      <c r="B172" t="s">
        <v>43</v>
      </c>
      <c r="C172" t="s">
        <v>44</v>
      </c>
      <c r="D172">
        <v>1.1000000000000001</v>
      </c>
      <c r="E172" t="s">
        <v>122</v>
      </c>
      <c r="F172">
        <v>207</v>
      </c>
      <c r="G172">
        <v>0</v>
      </c>
      <c r="H172">
        <v>12.63</v>
      </c>
      <c r="I172">
        <v>7.58</v>
      </c>
      <c r="J172">
        <f t="shared" si="2"/>
        <v>20.21</v>
      </c>
      <c r="K172">
        <v>2009</v>
      </c>
      <c r="L172">
        <v>2015</v>
      </c>
    </row>
    <row r="173" spans="1:12" x14ac:dyDescent="0.5">
      <c r="A173" t="s">
        <v>48</v>
      </c>
      <c r="B173" t="s">
        <v>43</v>
      </c>
      <c r="C173" t="s">
        <v>44</v>
      </c>
      <c r="D173">
        <v>1.2</v>
      </c>
      <c r="E173" t="s">
        <v>121</v>
      </c>
      <c r="F173">
        <v>69</v>
      </c>
      <c r="G173">
        <v>66</v>
      </c>
      <c r="H173">
        <v>7.9</v>
      </c>
      <c r="I173">
        <v>3.79</v>
      </c>
      <c r="J173">
        <f t="shared" si="2"/>
        <v>11.690000000000001</v>
      </c>
      <c r="K173">
        <v>2009</v>
      </c>
      <c r="L173">
        <v>2015</v>
      </c>
    </row>
    <row r="174" spans="1:12" x14ac:dyDescent="0.5">
      <c r="A174" t="s">
        <v>48</v>
      </c>
      <c r="B174" t="s">
        <v>43</v>
      </c>
      <c r="C174" t="s">
        <v>44</v>
      </c>
      <c r="D174">
        <v>1.3</v>
      </c>
      <c r="E174" t="s">
        <v>120</v>
      </c>
      <c r="F174">
        <v>138</v>
      </c>
      <c r="G174">
        <v>990</v>
      </c>
      <c r="H174">
        <v>15.79</v>
      </c>
      <c r="I174">
        <v>8.2100000000000009</v>
      </c>
      <c r="J174">
        <f t="shared" si="2"/>
        <v>24</v>
      </c>
      <c r="K174">
        <v>2009</v>
      </c>
      <c r="L174">
        <v>2015</v>
      </c>
    </row>
    <row r="175" spans="1:12" x14ac:dyDescent="0.5">
      <c r="A175" t="s">
        <v>48</v>
      </c>
      <c r="B175" t="s">
        <v>43</v>
      </c>
      <c r="C175" t="s">
        <v>44</v>
      </c>
      <c r="D175">
        <v>1.4</v>
      </c>
      <c r="E175" t="s">
        <v>119</v>
      </c>
      <c r="F175">
        <v>115</v>
      </c>
      <c r="G175">
        <v>22</v>
      </c>
      <c r="H175">
        <v>11.05</v>
      </c>
      <c r="I175">
        <v>5.68</v>
      </c>
      <c r="J175">
        <f t="shared" si="2"/>
        <v>16.73</v>
      </c>
      <c r="K175">
        <v>2009</v>
      </c>
      <c r="L175">
        <v>2015</v>
      </c>
    </row>
    <row r="176" spans="1:12" x14ac:dyDescent="0.5">
      <c r="A176" t="s">
        <v>48</v>
      </c>
      <c r="B176" t="s">
        <v>43</v>
      </c>
      <c r="C176" t="s">
        <v>44</v>
      </c>
      <c r="D176">
        <v>1.5</v>
      </c>
      <c r="E176" t="s">
        <v>118</v>
      </c>
      <c r="F176">
        <v>92</v>
      </c>
      <c r="G176">
        <v>110</v>
      </c>
      <c r="H176">
        <v>14.21</v>
      </c>
      <c r="I176">
        <v>5.05</v>
      </c>
      <c r="J176">
        <f t="shared" si="2"/>
        <v>19.260000000000002</v>
      </c>
      <c r="K176">
        <v>2009</v>
      </c>
      <c r="L176">
        <v>2015</v>
      </c>
    </row>
    <row r="177" spans="1:12" x14ac:dyDescent="0.5">
      <c r="A177" t="s">
        <v>48</v>
      </c>
      <c r="B177" t="s">
        <v>43</v>
      </c>
      <c r="C177" t="s">
        <v>44</v>
      </c>
      <c r="D177">
        <v>1.6</v>
      </c>
      <c r="E177" t="s">
        <v>117</v>
      </c>
      <c r="F177">
        <v>46</v>
      </c>
      <c r="G177">
        <v>132</v>
      </c>
      <c r="H177">
        <v>12.63</v>
      </c>
      <c r="I177">
        <v>4.42</v>
      </c>
      <c r="J177">
        <f t="shared" si="2"/>
        <v>17.05</v>
      </c>
      <c r="K177">
        <v>2009</v>
      </c>
      <c r="L177">
        <v>2015</v>
      </c>
    </row>
    <row r="178" spans="1:12" x14ac:dyDescent="0.5">
      <c r="A178" t="s">
        <v>48</v>
      </c>
      <c r="B178" t="s">
        <v>43</v>
      </c>
      <c r="C178" t="s">
        <v>44</v>
      </c>
      <c r="D178">
        <v>1.7</v>
      </c>
      <c r="E178" t="s">
        <v>116</v>
      </c>
      <c r="F178">
        <v>80.5</v>
      </c>
      <c r="G178">
        <v>330</v>
      </c>
      <c r="H178">
        <v>14.21</v>
      </c>
      <c r="I178">
        <v>6.31</v>
      </c>
      <c r="J178">
        <f t="shared" si="2"/>
        <v>20.52</v>
      </c>
      <c r="K178">
        <v>2009</v>
      </c>
      <c r="L178">
        <v>2015</v>
      </c>
    </row>
    <row r="179" spans="1:12" x14ac:dyDescent="0.5">
      <c r="A179" t="s">
        <v>48</v>
      </c>
      <c r="B179" t="s">
        <v>43</v>
      </c>
      <c r="C179" t="s">
        <v>44</v>
      </c>
      <c r="D179">
        <v>1.8</v>
      </c>
      <c r="E179" t="s">
        <v>115</v>
      </c>
      <c r="F179">
        <v>230</v>
      </c>
      <c r="G179">
        <v>396</v>
      </c>
      <c r="H179">
        <v>33.35</v>
      </c>
      <c r="I179">
        <v>10.91</v>
      </c>
      <c r="J179">
        <f t="shared" si="2"/>
        <v>44.260000000000005</v>
      </c>
      <c r="K179">
        <v>2009</v>
      </c>
      <c r="L179">
        <v>2015</v>
      </c>
    </row>
    <row r="180" spans="1:12" x14ac:dyDescent="0.5">
      <c r="A180" t="s">
        <v>48</v>
      </c>
      <c r="B180" t="s">
        <v>43</v>
      </c>
      <c r="C180" t="s">
        <v>44</v>
      </c>
      <c r="D180">
        <v>1.9</v>
      </c>
      <c r="E180" t="s">
        <v>114</v>
      </c>
      <c r="F180">
        <v>0</v>
      </c>
      <c r="G180">
        <v>0</v>
      </c>
      <c r="H180">
        <v>19.25</v>
      </c>
      <c r="I180">
        <v>3.85</v>
      </c>
      <c r="J180">
        <f t="shared" si="2"/>
        <v>23.1</v>
      </c>
      <c r="K180">
        <v>2009</v>
      </c>
      <c r="L180">
        <v>2015</v>
      </c>
    </row>
    <row r="181" spans="1:12" x14ac:dyDescent="0.5">
      <c r="A181" t="s">
        <v>48</v>
      </c>
      <c r="B181" t="s">
        <v>43</v>
      </c>
      <c r="C181" t="s">
        <v>44</v>
      </c>
      <c r="D181">
        <v>1.1000000000000001</v>
      </c>
      <c r="E181" t="s">
        <v>113</v>
      </c>
      <c r="F181">
        <v>0</v>
      </c>
      <c r="G181">
        <v>0</v>
      </c>
      <c r="H181">
        <v>15.82</v>
      </c>
      <c r="I181">
        <v>6.94</v>
      </c>
      <c r="J181">
        <f t="shared" si="2"/>
        <v>22.76</v>
      </c>
      <c r="K181">
        <v>2009</v>
      </c>
      <c r="L181">
        <v>2015</v>
      </c>
    </row>
    <row r="182" spans="1:12" x14ac:dyDescent="0.5">
      <c r="A182" t="s">
        <v>49</v>
      </c>
      <c r="B182" t="s">
        <v>50</v>
      </c>
      <c r="C182" t="s">
        <v>23</v>
      </c>
      <c r="D182">
        <v>1.1000000000000001</v>
      </c>
      <c r="E182" t="s">
        <v>122</v>
      </c>
      <c r="F182">
        <v>291.60000000000002</v>
      </c>
      <c r="G182">
        <v>0</v>
      </c>
      <c r="H182">
        <v>18.11</v>
      </c>
      <c r="I182">
        <v>10.95</v>
      </c>
      <c r="J182">
        <f t="shared" si="2"/>
        <v>29.06</v>
      </c>
      <c r="K182">
        <v>2000</v>
      </c>
      <c r="L182">
        <v>2007</v>
      </c>
    </row>
    <row r="183" spans="1:12" x14ac:dyDescent="0.5">
      <c r="A183" t="s">
        <v>49</v>
      </c>
      <c r="B183" t="s">
        <v>50</v>
      </c>
      <c r="C183" t="s">
        <v>23</v>
      </c>
      <c r="D183">
        <v>1.2</v>
      </c>
      <c r="E183" t="s">
        <v>121</v>
      </c>
      <c r="F183">
        <v>97.2</v>
      </c>
      <c r="G183">
        <v>102</v>
      </c>
      <c r="H183">
        <v>11.32</v>
      </c>
      <c r="I183">
        <v>5.47</v>
      </c>
      <c r="J183">
        <f t="shared" si="2"/>
        <v>16.79</v>
      </c>
      <c r="K183">
        <v>2000</v>
      </c>
      <c r="L183">
        <v>2007</v>
      </c>
    </row>
    <row r="184" spans="1:12" x14ac:dyDescent="0.5">
      <c r="A184" t="s">
        <v>49</v>
      </c>
      <c r="B184" t="s">
        <v>50</v>
      </c>
      <c r="C184" t="s">
        <v>23</v>
      </c>
      <c r="D184">
        <v>1.3</v>
      </c>
      <c r="E184" t="s">
        <v>120</v>
      </c>
      <c r="F184">
        <v>194.4</v>
      </c>
      <c r="G184">
        <v>1530</v>
      </c>
      <c r="H184">
        <v>22.64</v>
      </c>
      <c r="I184">
        <v>11.86</v>
      </c>
      <c r="J184">
        <f t="shared" si="2"/>
        <v>34.5</v>
      </c>
      <c r="K184">
        <v>2000</v>
      </c>
      <c r="L184">
        <v>2007</v>
      </c>
    </row>
    <row r="185" spans="1:12" x14ac:dyDescent="0.5">
      <c r="A185" t="s">
        <v>49</v>
      </c>
      <c r="B185" t="s">
        <v>50</v>
      </c>
      <c r="C185" t="s">
        <v>23</v>
      </c>
      <c r="D185">
        <v>1.4</v>
      </c>
      <c r="E185" t="s">
        <v>119</v>
      </c>
      <c r="F185">
        <v>162</v>
      </c>
      <c r="G185">
        <v>34</v>
      </c>
      <c r="H185">
        <v>15.84</v>
      </c>
      <c r="I185">
        <v>8.2100000000000009</v>
      </c>
      <c r="J185">
        <f t="shared" si="2"/>
        <v>24.05</v>
      </c>
      <c r="K185">
        <v>2000</v>
      </c>
      <c r="L185">
        <v>2007</v>
      </c>
    </row>
    <row r="186" spans="1:12" x14ac:dyDescent="0.5">
      <c r="A186" t="s">
        <v>49</v>
      </c>
      <c r="B186" t="s">
        <v>50</v>
      </c>
      <c r="C186" t="s">
        <v>23</v>
      </c>
      <c r="D186">
        <v>1.5</v>
      </c>
      <c r="E186" t="s">
        <v>118</v>
      </c>
      <c r="F186">
        <v>129.6</v>
      </c>
      <c r="G186">
        <v>170</v>
      </c>
      <c r="H186">
        <v>20.37</v>
      </c>
      <c r="I186">
        <v>7.3</v>
      </c>
      <c r="J186">
        <f t="shared" si="2"/>
        <v>27.67</v>
      </c>
      <c r="K186">
        <v>2000</v>
      </c>
      <c r="L186">
        <v>2007</v>
      </c>
    </row>
    <row r="187" spans="1:12" x14ac:dyDescent="0.5">
      <c r="A187" t="s">
        <v>49</v>
      </c>
      <c r="B187" t="s">
        <v>50</v>
      </c>
      <c r="C187" t="s">
        <v>23</v>
      </c>
      <c r="D187">
        <v>1.6</v>
      </c>
      <c r="E187" t="s">
        <v>117</v>
      </c>
      <c r="F187">
        <v>64.8</v>
      </c>
      <c r="G187">
        <v>204</v>
      </c>
      <c r="H187">
        <v>18.11</v>
      </c>
      <c r="I187">
        <v>6.39</v>
      </c>
      <c r="J187">
        <f t="shared" si="2"/>
        <v>24.5</v>
      </c>
      <c r="K187">
        <v>2000</v>
      </c>
      <c r="L187">
        <v>2007</v>
      </c>
    </row>
    <row r="188" spans="1:12" x14ac:dyDescent="0.5">
      <c r="A188" t="s">
        <v>49</v>
      </c>
      <c r="B188" t="s">
        <v>50</v>
      </c>
      <c r="C188" t="s">
        <v>23</v>
      </c>
      <c r="D188">
        <v>1.7</v>
      </c>
      <c r="E188" t="s">
        <v>116</v>
      </c>
      <c r="F188">
        <v>113.4</v>
      </c>
      <c r="G188">
        <v>510</v>
      </c>
      <c r="H188">
        <v>20.37</v>
      </c>
      <c r="I188">
        <v>9.1199999999999992</v>
      </c>
      <c r="J188">
        <f t="shared" si="2"/>
        <v>29.490000000000002</v>
      </c>
      <c r="K188">
        <v>2000</v>
      </c>
      <c r="L188">
        <v>2007</v>
      </c>
    </row>
    <row r="189" spans="1:12" x14ac:dyDescent="0.5">
      <c r="A189" t="s">
        <v>49</v>
      </c>
      <c r="B189" t="s">
        <v>50</v>
      </c>
      <c r="C189" t="s">
        <v>23</v>
      </c>
      <c r="D189">
        <v>1.8</v>
      </c>
      <c r="E189" t="s">
        <v>115</v>
      </c>
      <c r="F189">
        <v>324</v>
      </c>
      <c r="G189">
        <v>612</v>
      </c>
      <c r="H189">
        <v>57.76</v>
      </c>
      <c r="I189">
        <v>19.05</v>
      </c>
      <c r="J189">
        <f t="shared" si="2"/>
        <v>76.81</v>
      </c>
      <c r="K189">
        <v>2000</v>
      </c>
      <c r="L189">
        <v>2007</v>
      </c>
    </row>
    <row r="190" spans="1:12" x14ac:dyDescent="0.5">
      <c r="A190" t="s">
        <v>49</v>
      </c>
      <c r="B190" t="s">
        <v>50</v>
      </c>
      <c r="C190" t="s">
        <v>23</v>
      </c>
      <c r="D190">
        <v>1.9</v>
      </c>
      <c r="E190" t="s">
        <v>114</v>
      </c>
      <c r="F190">
        <v>0</v>
      </c>
      <c r="G190">
        <v>0</v>
      </c>
      <c r="H190">
        <v>27.81</v>
      </c>
      <c r="I190">
        <v>5.61</v>
      </c>
      <c r="J190">
        <f t="shared" si="2"/>
        <v>33.42</v>
      </c>
      <c r="K190">
        <v>2000</v>
      </c>
      <c r="L190">
        <v>2007</v>
      </c>
    </row>
    <row r="191" spans="1:12" x14ac:dyDescent="0.5">
      <c r="A191" t="s">
        <v>49</v>
      </c>
      <c r="B191" t="s">
        <v>50</v>
      </c>
      <c r="C191" t="s">
        <v>23</v>
      </c>
      <c r="D191">
        <v>1.1000000000000001</v>
      </c>
      <c r="E191" t="s">
        <v>113</v>
      </c>
      <c r="F191">
        <v>0</v>
      </c>
      <c r="G191">
        <v>0</v>
      </c>
      <c r="H191">
        <v>22.64</v>
      </c>
      <c r="I191">
        <v>10.029999999999999</v>
      </c>
      <c r="J191">
        <f t="shared" si="2"/>
        <v>32.67</v>
      </c>
      <c r="K191">
        <v>2000</v>
      </c>
      <c r="L191">
        <v>2007</v>
      </c>
    </row>
    <row r="192" spans="1:12" x14ac:dyDescent="0.5">
      <c r="A192" t="s">
        <v>51</v>
      </c>
      <c r="B192" t="s">
        <v>50</v>
      </c>
      <c r="C192" t="s">
        <v>23</v>
      </c>
      <c r="D192">
        <v>1.1000000000000001</v>
      </c>
      <c r="E192" t="s">
        <v>122</v>
      </c>
      <c r="F192">
        <v>315</v>
      </c>
      <c r="G192">
        <v>0</v>
      </c>
      <c r="H192">
        <v>19.27</v>
      </c>
      <c r="I192">
        <v>11.68</v>
      </c>
      <c r="J192">
        <f t="shared" si="2"/>
        <v>30.95</v>
      </c>
      <c r="K192">
        <v>2003</v>
      </c>
      <c r="L192">
        <v>2010</v>
      </c>
    </row>
    <row r="193" spans="1:12" x14ac:dyDescent="0.5">
      <c r="A193" t="s">
        <v>51</v>
      </c>
      <c r="B193" t="s">
        <v>50</v>
      </c>
      <c r="C193" t="s">
        <v>23</v>
      </c>
      <c r="D193">
        <v>1.2</v>
      </c>
      <c r="E193" t="s">
        <v>121</v>
      </c>
      <c r="F193">
        <v>105</v>
      </c>
      <c r="G193">
        <v>114</v>
      </c>
      <c r="H193">
        <v>12.04</v>
      </c>
      <c r="I193">
        <v>5.84</v>
      </c>
      <c r="J193">
        <f t="shared" si="2"/>
        <v>17.88</v>
      </c>
      <c r="K193">
        <v>2003</v>
      </c>
      <c r="L193">
        <v>2010</v>
      </c>
    </row>
    <row r="194" spans="1:12" x14ac:dyDescent="0.5">
      <c r="A194" t="s">
        <v>51</v>
      </c>
      <c r="B194" t="s">
        <v>50</v>
      </c>
      <c r="C194" t="s">
        <v>23</v>
      </c>
      <c r="D194">
        <v>1.3</v>
      </c>
      <c r="E194" t="s">
        <v>120</v>
      </c>
      <c r="F194">
        <v>210</v>
      </c>
      <c r="G194">
        <v>1710</v>
      </c>
      <c r="H194">
        <v>24.09</v>
      </c>
      <c r="I194">
        <v>12.65</v>
      </c>
      <c r="J194">
        <f t="shared" si="2"/>
        <v>36.74</v>
      </c>
      <c r="K194">
        <v>2003</v>
      </c>
      <c r="L194">
        <v>2010</v>
      </c>
    </row>
    <row r="195" spans="1:12" x14ac:dyDescent="0.5">
      <c r="A195" t="s">
        <v>51</v>
      </c>
      <c r="B195" t="s">
        <v>50</v>
      </c>
      <c r="C195" t="s">
        <v>23</v>
      </c>
      <c r="D195">
        <v>1.4</v>
      </c>
      <c r="E195" t="s">
        <v>119</v>
      </c>
      <c r="F195">
        <v>175</v>
      </c>
      <c r="G195">
        <v>38</v>
      </c>
      <c r="H195">
        <v>16.86</v>
      </c>
      <c r="I195">
        <v>8.76</v>
      </c>
      <c r="J195">
        <f t="shared" ref="J195:J258" si="3">SUM(H195:I195)</f>
        <v>25.619999999999997</v>
      </c>
      <c r="K195">
        <v>2003</v>
      </c>
      <c r="L195">
        <v>2010</v>
      </c>
    </row>
    <row r="196" spans="1:12" x14ac:dyDescent="0.5">
      <c r="A196" t="s">
        <v>51</v>
      </c>
      <c r="B196" t="s">
        <v>50</v>
      </c>
      <c r="C196" t="s">
        <v>23</v>
      </c>
      <c r="D196">
        <v>1.5</v>
      </c>
      <c r="E196" t="s">
        <v>118</v>
      </c>
      <c r="F196">
        <v>140</v>
      </c>
      <c r="G196">
        <v>190</v>
      </c>
      <c r="H196">
        <v>21.68</v>
      </c>
      <c r="I196">
        <v>7.78</v>
      </c>
      <c r="J196">
        <f t="shared" si="3"/>
        <v>29.46</v>
      </c>
      <c r="K196">
        <v>2003</v>
      </c>
      <c r="L196">
        <v>2010</v>
      </c>
    </row>
    <row r="197" spans="1:12" x14ac:dyDescent="0.5">
      <c r="A197" t="s">
        <v>51</v>
      </c>
      <c r="B197" t="s">
        <v>50</v>
      </c>
      <c r="C197" t="s">
        <v>23</v>
      </c>
      <c r="D197">
        <v>1.6</v>
      </c>
      <c r="E197" t="s">
        <v>117</v>
      </c>
      <c r="F197">
        <v>70</v>
      </c>
      <c r="G197">
        <v>228</v>
      </c>
      <c r="H197">
        <v>19.27</v>
      </c>
      <c r="I197">
        <v>6.81</v>
      </c>
      <c r="J197">
        <f t="shared" si="3"/>
        <v>26.08</v>
      </c>
      <c r="K197">
        <v>2003</v>
      </c>
      <c r="L197">
        <v>2010</v>
      </c>
    </row>
    <row r="198" spans="1:12" x14ac:dyDescent="0.5">
      <c r="A198" t="s">
        <v>51</v>
      </c>
      <c r="B198" t="s">
        <v>50</v>
      </c>
      <c r="C198" t="s">
        <v>23</v>
      </c>
      <c r="D198">
        <v>1.7</v>
      </c>
      <c r="E198" t="s">
        <v>116</v>
      </c>
      <c r="F198">
        <v>122.5</v>
      </c>
      <c r="G198">
        <v>570</v>
      </c>
      <c r="H198">
        <v>21.68</v>
      </c>
      <c r="I198">
        <v>9.73</v>
      </c>
      <c r="J198">
        <f t="shared" si="3"/>
        <v>31.41</v>
      </c>
      <c r="K198">
        <v>2003</v>
      </c>
      <c r="L198">
        <v>2010</v>
      </c>
    </row>
    <row r="199" spans="1:12" x14ac:dyDescent="0.5">
      <c r="A199" t="s">
        <v>51</v>
      </c>
      <c r="B199" t="s">
        <v>50</v>
      </c>
      <c r="C199" t="s">
        <v>23</v>
      </c>
      <c r="D199">
        <v>1.8</v>
      </c>
      <c r="E199" t="s">
        <v>115</v>
      </c>
      <c r="F199">
        <v>350</v>
      </c>
      <c r="G199">
        <v>684</v>
      </c>
      <c r="H199">
        <v>63.59</v>
      </c>
      <c r="I199">
        <v>21.02</v>
      </c>
      <c r="J199">
        <f t="shared" si="3"/>
        <v>84.61</v>
      </c>
      <c r="K199">
        <v>2003</v>
      </c>
      <c r="L199">
        <v>2010</v>
      </c>
    </row>
    <row r="200" spans="1:12" x14ac:dyDescent="0.5">
      <c r="A200" t="s">
        <v>51</v>
      </c>
      <c r="B200" t="s">
        <v>50</v>
      </c>
      <c r="C200" t="s">
        <v>23</v>
      </c>
      <c r="D200">
        <v>1.9</v>
      </c>
      <c r="E200" t="s">
        <v>114</v>
      </c>
      <c r="F200">
        <v>0</v>
      </c>
      <c r="G200">
        <v>0</v>
      </c>
      <c r="H200">
        <v>30.06</v>
      </c>
      <c r="I200">
        <v>6.07</v>
      </c>
      <c r="J200">
        <f t="shared" si="3"/>
        <v>36.129999999999995</v>
      </c>
      <c r="K200">
        <v>2003</v>
      </c>
      <c r="L200">
        <v>2010</v>
      </c>
    </row>
    <row r="201" spans="1:12" x14ac:dyDescent="0.5">
      <c r="A201" t="s">
        <v>51</v>
      </c>
      <c r="B201" t="s">
        <v>50</v>
      </c>
      <c r="C201" t="s">
        <v>23</v>
      </c>
      <c r="D201">
        <v>1.1000000000000001</v>
      </c>
      <c r="E201" t="s">
        <v>113</v>
      </c>
      <c r="F201">
        <v>0</v>
      </c>
      <c r="G201">
        <v>0</v>
      </c>
      <c r="H201">
        <v>24.07</v>
      </c>
      <c r="I201">
        <v>10.7</v>
      </c>
      <c r="J201">
        <f t="shared" si="3"/>
        <v>34.769999999999996</v>
      </c>
      <c r="K201">
        <v>2003</v>
      </c>
      <c r="L201">
        <v>2010</v>
      </c>
    </row>
    <row r="202" spans="1:12" x14ac:dyDescent="0.5">
      <c r="A202" t="s">
        <v>52</v>
      </c>
      <c r="B202" t="s">
        <v>50</v>
      </c>
      <c r="C202" t="s">
        <v>23</v>
      </c>
      <c r="D202">
        <v>1.1000000000000001</v>
      </c>
      <c r="E202" t="s">
        <v>122</v>
      </c>
      <c r="F202">
        <v>342</v>
      </c>
      <c r="G202">
        <v>0</v>
      </c>
      <c r="H202">
        <v>20.55</v>
      </c>
      <c r="I202">
        <v>12.48</v>
      </c>
      <c r="J202">
        <f t="shared" si="3"/>
        <v>33.03</v>
      </c>
      <c r="K202">
        <v>2006</v>
      </c>
      <c r="L202">
        <v>2013</v>
      </c>
    </row>
    <row r="203" spans="1:12" x14ac:dyDescent="0.5">
      <c r="A203" t="s">
        <v>52</v>
      </c>
      <c r="B203" t="s">
        <v>50</v>
      </c>
      <c r="C203" t="s">
        <v>23</v>
      </c>
      <c r="D203">
        <v>1.2</v>
      </c>
      <c r="E203" t="s">
        <v>121</v>
      </c>
      <c r="F203">
        <v>114</v>
      </c>
      <c r="G203">
        <v>126</v>
      </c>
      <c r="H203">
        <v>12.84</v>
      </c>
      <c r="I203">
        <v>6.24</v>
      </c>
      <c r="J203">
        <f t="shared" si="3"/>
        <v>19.079999999999998</v>
      </c>
      <c r="K203">
        <v>2006</v>
      </c>
      <c r="L203">
        <v>2013</v>
      </c>
    </row>
    <row r="204" spans="1:12" x14ac:dyDescent="0.5">
      <c r="A204" t="s">
        <v>52</v>
      </c>
      <c r="B204" t="s">
        <v>50</v>
      </c>
      <c r="C204" t="s">
        <v>23</v>
      </c>
      <c r="D204">
        <v>1.3</v>
      </c>
      <c r="E204" t="s">
        <v>120</v>
      </c>
      <c r="F204">
        <v>228</v>
      </c>
      <c r="G204">
        <v>1890</v>
      </c>
      <c r="H204">
        <v>25.69</v>
      </c>
      <c r="I204">
        <v>13.52</v>
      </c>
      <c r="J204">
        <f t="shared" si="3"/>
        <v>39.21</v>
      </c>
      <c r="K204">
        <v>2006</v>
      </c>
      <c r="L204">
        <v>2013</v>
      </c>
    </row>
    <row r="205" spans="1:12" x14ac:dyDescent="0.5">
      <c r="A205" t="s">
        <v>52</v>
      </c>
      <c r="B205" t="s">
        <v>50</v>
      </c>
      <c r="C205" t="s">
        <v>23</v>
      </c>
      <c r="D205">
        <v>1.4</v>
      </c>
      <c r="E205" t="s">
        <v>119</v>
      </c>
      <c r="F205">
        <v>190</v>
      </c>
      <c r="G205">
        <v>42</v>
      </c>
      <c r="H205">
        <v>17.98</v>
      </c>
      <c r="I205">
        <v>9.36</v>
      </c>
      <c r="J205">
        <f t="shared" si="3"/>
        <v>27.34</v>
      </c>
      <c r="K205">
        <v>2006</v>
      </c>
      <c r="L205">
        <v>2013</v>
      </c>
    </row>
    <row r="206" spans="1:12" x14ac:dyDescent="0.5">
      <c r="A206" t="s">
        <v>52</v>
      </c>
      <c r="B206" t="s">
        <v>50</v>
      </c>
      <c r="C206" t="s">
        <v>23</v>
      </c>
      <c r="D206">
        <v>1.5</v>
      </c>
      <c r="E206" t="s">
        <v>118</v>
      </c>
      <c r="F206">
        <v>152</v>
      </c>
      <c r="G206">
        <v>210</v>
      </c>
      <c r="H206">
        <v>23.12</v>
      </c>
      <c r="I206">
        <v>8.32</v>
      </c>
      <c r="J206">
        <f t="shared" si="3"/>
        <v>31.44</v>
      </c>
      <c r="K206">
        <v>2006</v>
      </c>
      <c r="L206">
        <v>2013</v>
      </c>
    </row>
    <row r="207" spans="1:12" x14ac:dyDescent="0.5">
      <c r="A207" t="s">
        <v>52</v>
      </c>
      <c r="B207" t="s">
        <v>50</v>
      </c>
      <c r="C207" t="s">
        <v>23</v>
      </c>
      <c r="D207">
        <v>1.6</v>
      </c>
      <c r="E207" t="s">
        <v>117</v>
      </c>
      <c r="F207">
        <v>76</v>
      </c>
      <c r="G207">
        <v>252</v>
      </c>
      <c r="H207">
        <v>20.55</v>
      </c>
      <c r="I207">
        <v>7.28</v>
      </c>
      <c r="J207">
        <f t="shared" si="3"/>
        <v>27.830000000000002</v>
      </c>
      <c r="K207">
        <v>2006</v>
      </c>
      <c r="L207">
        <v>2013</v>
      </c>
    </row>
    <row r="208" spans="1:12" x14ac:dyDescent="0.5">
      <c r="A208" t="s">
        <v>52</v>
      </c>
      <c r="B208" t="s">
        <v>50</v>
      </c>
      <c r="C208" t="s">
        <v>23</v>
      </c>
      <c r="D208">
        <v>1.7</v>
      </c>
      <c r="E208" t="s">
        <v>116</v>
      </c>
      <c r="F208">
        <v>133</v>
      </c>
      <c r="G208">
        <v>630</v>
      </c>
      <c r="H208">
        <v>23.12</v>
      </c>
      <c r="I208">
        <v>10.4</v>
      </c>
      <c r="J208">
        <f t="shared" si="3"/>
        <v>33.520000000000003</v>
      </c>
      <c r="K208">
        <v>2006</v>
      </c>
      <c r="L208">
        <v>2013</v>
      </c>
    </row>
    <row r="209" spans="1:12" x14ac:dyDescent="0.5">
      <c r="A209" t="s">
        <v>52</v>
      </c>
      <c r="B209" t="s">
        <v>50</v>
      </c>
      <c r="C209" t="s">
        <v>23</v>
      </c>
      <c r="D209">
        <v>1.8</v>
      </c>
      <c r="E209" t="s">
        <v>115</v>
      </c>
      <c r="F209">
        <v>380</v>
      </c>
      <c r="G209">
        <v>756</v>
      </c>
      <c r="H209">
        <v>70.08</v>
      </c>
      <c r="I209">
        <v>23.22</v>
      </c>
      <c r="J209">
        <f t="shared" si="3"/>
        <v>93.3</v>
      </c>
      <c r="K209">
        <v>2006</v>
      </c>
      <c r="L209">
        <v>2013</v>
      </c>
    </row>
    <row r="210" spans="1:12" x14ac:dyDescent="0.5">
      <c r="A210" t="s">
        <v>52</v>
      </c>
      <c r="B210" t="s">
        <v>50</v>
      </c>
      <c r="C210" t="s">
        <v>23</v>
      </c>
      <c r="D210">
        <v>1.9</v>
      </c>
      <c r="E210" t="s">
        <v>114</v>
      </c>
      <c r="F210">
        <v>0</v>
      </c>
      <c r="G210">
        <v>0</v>
      </c>
      <c r="H210">
        <v>32.549999999999997</v>
      </c>
      <c r="I210">
        <v>6.59</v>
      </c>
      <c r="J210">
        <f t="shared" si="3"/>
        <v>39.14</v>
      </c>
      <c r="K210">
        <v>2006</v>
      </c>
      <c r="L210">
        <v>2013</v>
      </c>
    </row>
    <row r="211" spans="1:12" x14ac:dyDescent="0.5">
      <c r="A211" t="s">
        <v>52</v>
      </c>
      <c r="B211" t="s">
        <v>50</v>
      </c>
      <c r="C211" t="s">
        <v>23</v>
      </c>
      <c r="D211">
        <v>1.1000000000000001</v>
      </c>
      <c r="E211" t="s">
        <v>113</v>
      </c>
      <c r="F211">
        <v>0</v>
      </c>
      <c r="G211">
        <v>0</v>
      </c>
      <c r="H211">
        <v>25.71</v>
      </c>
      <c r="I211">
        <v>11.47</v>
      </c>
      <c r="J211">
        <f t="shared" si="3"/>
        <v>37.18</v>
      </c>
      <c r="K211">
        <v>2006</v>
      </c>
      <c r="L211">
        <v>2013</v>
      </c>
    </row>
    <row r="212" spans="1:12" x14ac:dyDescent="0.5">
      <c r="A212" t="s">
        <v>53</v>
      </c>
      <c r="B212" t="s">
        <v>50</v>
      </c>
      <c r="C212" t="s">
        <v>23</v>
      </c>
      <c r="D212">
        <v>1.1000000000000001</v>
      </c>
      <c r="E212" t="s">
        <v>122</v>
      </c>
      <c r="F212">
        <v>369</v>
      </c>
      <c r="G212">
        <v>0</v>
      </c>
      <c r="H212">
        <v>18.66</v>
      </c>
      <c r="I212">
        <v>11.34</v>
      </c>
      <c r="J212">
        <f t="shared" si="3"/>
        <v>30</v>
      </c>
      <c r="K212">
        <v>2009</v>
      </c>
      <c r="L212">
        <v>2016</v>
      </c>
    </row>
    <row r="213" spans="1:12" x14ac:dyDescent="0.5">
      <c r="A213" t="s">
        <v>53</v>
      </c>
      <c r="B213" t="s">
        <v>50</v>
      </c>
      <c r="C213" t="s">
        <v>23</v>
      </c>
      <c r="D213">
        <v>1.2</v>
      </c>
      <c r="E213" t="s">
        <v>121</v>
      </c>
      <c r="F213">
        <v>123</v>
      </c>
      <c r="G213">
        <v>138</v>
      </c>
      <c r="H213">
        <v>11.66</v>
      </c>
      <c r="I213">
        <v>5.67</v>
      </c>
      <c r="J213">
        <f t="shared" si="3"/>
        <v>17.329999999999998</v>
      </c>
      <c r="K213">
        <v>2009</v>
      </c>
      <c r="L213">
        <v>2016</v>
      </c>
    </row>
    <row r="214" spans="1:12" x14ac:dyDescent="0.5">
      <c r="A214" t="s">
        <v>53</v>
      </c>
      <c r="B214" t="s">
        <v>50</v>
      </c>
      <c r="C214" t="s">
        <v>23</v>
      </c>
      <c r="D214">
        <v>1.3</v>
      </c>
      <c r="E214" t="s">
        <v>120</v>
      </c>
      <c r="F214">
        <v>246</v>
      </c>
      <c r="G214">
        <v>2070</v>
      </c>
      <c r="H214">
        <v>23.32</v>
      </c>
      <c r="I214">
        <v>12.29</v>
      </c>
      <c r="J214">
        <f t="shared" si="3"/>
        <v>35.61</v>
      </c>
      <c r="K214">
        <v>2009</v>
      </c>
      <c r="L214">
        <v>2016</v>
      </c>
    </row>
    <row r="215" spans="1:12" x14ac:dyDescent="0.5">
      <c r="A215" t="s">
        <v>53</v>
      </c>
      <c r="B215" t="s">
        <v>50</v>
      </c>
      <c r="C215" t="s">
        <v>23</v>
      </c>
      <c r="D215">
        <v>1.4</v>
      </c>
      <c r="E215" t="s">
        <v>119</v>
      </c>
      <c r="F215">
        <v>205</v>
      </c>
      <c r="G215">
        <v>46</v>
      </c>
      <c r="H215">
        <v>16.32</v>
      </c>
      <c r="I215">
        <v>8.51</v>
      </c>
      <c r="J215">
        <f t="shared" si="3"/>
        <v>24.83</v>
      </c>
      <c r="K215">
        <v>2009</v>
      </c>
      <c r="L215">
        <v>2016</v>
      </c>
    </row>
    <row r="216" spans="1:12" x14ac:dyDescent="0.5">
      <c r="A216" t="s">
        <v>53</v>
      </c>
      <c r="B216" t="s">
        <v>50</v>
      </c>
      <c r="C216" t="s">
        <v>23</v>
      </c>
      <c r="D216">
        <v>1.5</v>
      </c>
      <c r="E216" t="s">
        <v>118</v>
      </c>
      <c r="F216">
        <v>164</v>
      </c>
      <c r="G216">
        <v>230</v>
      </c>
      <c r="H216">
        <v>20.99</v>
      </c>
      <c r="I216">
        <v>7.56</v>
      </c>
      <c r="J216">
        <f t="shared" si="3"/>
        <v>28.549999999999997</v>
      </c>
      <c r="K216">
        <v>2009</v>
      </c>
      <c r="L216">
        <v>2016</v>
      </c>
    </row>
    <row r="217" spans="1:12" x14ac:dyDescent="0.5">
      <c r="A217" t="s">
        <v>53</v>
      </c>
      <c r="B217" t="s">
        <v>50</v>
      </c>
      <c r="C217" t="s">
        <v>23</v>
      </c>
      <c r="D217">
        <v>1.6</v>
      </c>
      <c r="E217" t="s">
        <v>117</v>
      </c>
      <c r="F217">
        <v>82</v>
      </c>
      <c r="G217">
        <v>276</v>
      </c>
      <c r="H217">
        <v>18.66</v>
      </c>
      <c r="I217">
        <v>6.62</v>
      </c>
      <c r="J217">
        <f t="shared" si="3"/>
        <v>25.28</v>
      </c>
      <c r="K217">
        <v>2009</v>
      </c>
      <c r="L217">
        <v>2016</v>
      </c>
    </row>
    <row r="218" spans="1:12" x14ac:dyDescent="0.5">
      <c r="A218" t="s">
        <v>53</v>
      </c>
      <c r="B218" t="s">
        <v>50</v>
      </c>
      <c r="C218" t="s">
        <v>23</v>
      </c>
      <c r="D218">
        <v>1.7</v>
      </c>
      <c r="E218" t="s">
        <v>116</v>
      </c>
      <c r="F218">
        <v>143.5</v>
      </c>
      <c r="G218">
        <v>690</v>
      </c>
      <c r="H218">
        <v>20.99</v>
      </c>
      <c r="I218">
        <v>9.4499999999999993</v>
      </c>
      <c r="J218">
        <f t="shared" si="3"/>
        <v>30.439999999999998</v>
      </c>
      <c r="K218">
        <v>2009</v>
      </c>
      <c r="L218">
        <v>2016</v>
      </c>
    </row>
    <row r="219" spans="1:12" x14ac:dyDescent="0.5">
      <c r="A219" t="s">
        <v>53</v>
      </c>
      <c r="B219" t="s">
        <v>50</v>
      </c>
      <c r="C219" t="s">
        <v>23</v>
      </c>
      <c r="D219">
        <v>1.8</v>
      </c>
      <c r="E219" t="s">
        <v>115</v>
      </c>
      <c r="F219">
        <v>410</v>
      </c>
      <c r="G219">
        <v>828</v>
      </c>
      <c r="H219">
        <v>63.62</v>
      </c>
      <c r="I219">
        <v>21.1</v>
      </c>
      <c r="J219">
        <f t="shared" si="3"/>
        <v>84.72</v>
      </c>
      <c r="K219">
        <v>2009</v>
      </c>
      <c r="L219">
        <v>2016</v>
      </c>
    </row>
    <row r="220" spans="1:12" x14ac:dyDescent="0.5">
      <c r="A220" t="s">
        <v>53</v>
      </c>
      <c r="B220" t="s">
        <v>50</v>
      </c>
      <c r="C220" t="s">
        <v>23</v>
      </c>
      <c r="D220">
        <v>1.9</v>
      </c>
      <c r="E220" t="s">
        <v>114</v>
      </c>
      <c r="F220">
        <v>0</v>
      </c>
      <c r="G220">
        <v>0</v>
      </c>
      <c r="H220">
        <v>30</v>
      </c>
      <c r="I220">
        <v>6.08</v>
      </c>
      <c r="J220">
        <f t="shared" si="3"/>
        <v>36.08</v>
      </c>
      <c r="K220">
        <v>2009</v>
      </c>
      <c r="L220">
        <v>2016</v>
      </c>
    </row>
    <row r="221" spans="1:12" x14ac:dyDescent="0.5">
      <c r="A221" t="s">
        <v>53</v>
      </c>
      <c r="B221" t="s">
        <v>50</v>
      </c>
      <c r="C221" t="s">
        <v>23</v>
      </c>
      <c r="D221">
        <v>1.1000000000000001</v>
      </c>
      <c r="E221" t="s">
        <v>113</v>
      </c>
      <c r="F221">
        <v>0</v>
      </c>
      <c r="G221">
        <v>0</v>
      </c>
      <c r="H221">
        <v>23.32</v>
      </c>
      <c r="I221">
        <v>10.4</v>
      </c>
      <c r="J221">
        <f t="shared" si="3"/>
        <v>33.72</v>
      </c>
      <c r="K221">
        <v>2009</v>
      </c>
      <c r="L221">
        <v>2016</v>
      </c>
    </row>
    <row r="222" spans="1:12" x14ac:dyDescent="0.5">
      <c r="A222" t="s">
        <v>54</v>
      </c>
      <c r="B222" t="s">
        <v>50</v>
      </c>
      <c r="C222" t="s">
        <v>23</v>
      </c>
      <c r="D222">
        <v>1.1000000000000001</v>
      </c>
      <c r="E222" t="s">
        <v>122</v>
      </c>
      <c r="F222">
        <v>396</v>
      </c>
      <c r="G222">
        <v>0</v>
      </c>
      <c r="H222">
        <v>21.11</v>
      </c>
      <c r="I222">
        <v>12.86</v>
      </c>
      <c r="J222">
        <f t="shared" si="3"/>
        <v>33.97</v>
      </c>
      <c r="K222">
        <v>2013</v>
      </c>
      <c r="L222">
        <v>2020</v>
      </c>
    </row>
    <row r="223" spans="1:12" x14ac:dyDescent="0.5">
      <c r="A223" t="s">
        <v>54</v>
      </c>
      <c r="B223" t="s">
        <v>50</v>
      </c>
      <c r="C223" t="s">
        <v>23</v>
      </c>
      <c r="D223">
        <v>1.2</v>
      </c>
      <c r="E223" t="s">
        <v>121</v>
      </c>
      <c r="F223">
        <v>132</v>
      </c>
      <c r="G223">
        <v>153</v>
      </c>
      <c r="H223">
        <v>13.19</v>
      </c>
      <c r="I223">
        <v>6.43</v>
      </c>
      <c r="J223">
        <f t="shared" si="3"/>
        <v>19.619999999999997</v>
      </c>
      <c r="K223">
        <v>2013</v>
      </c>
      <c r="L223">
        <v>2020</v>
      </c>
    </row>
    <row r="224" spans="1:12" x14ac:dyDescent="0.5">
      <c r="A224" t="s">
        <v>54</v>
      </c>
      <c r="B224" t="s">
        <v>50</v>
      </c>
      <c r="C224" t="s">
        <v>23</v>
      </c>
      <c r="D224">
        <v>1.3</v>
      </c>
      <c r="E224" t="s">
        <v>120</v>
      </c>
      <c r="F224">
        <v>264</v>
      </c>
      <c r="G224">
        <v>2295</v>
      </c>
      <c r="H224">
        <v>26.38</v>
      </c>
      <c r="I224">
        <v>13.93</v>
      </c>
      <c r="J224">
        <f t="shared" si="3"/>
        <v>40.31</v>
      </c>
      <c r="K224">
        <v>2013</v>
      </c>
      <c r="L224">
        <v>2020</v>
      </c>
    </row>
    <row r="225" spans="1:12" x14ac:dyDescent="0.5">
      <c r="A225" t="s">
        <v>54</v>
      </c>
      <c r="B225" t="s">
        <v>50</v>
      </c>
      <c r="C225" t="s">
        <v>23</v>
      </c>
      <c r="D225">
        <v>1.4</v>
      </c>
      <c r="E225" t="s">
        <v>119</v>
      </c>
      <c r="F225">
        <v>220</v>
      </c>
      <c r="G225">
        <v>51</v>
      </c>
      <c r="H225">
        <v>18.47</v>
      </c>
      <c r="I225">
        <v>9.65</v>
      </c>
      <c r="J225">
        <f t="shared" si="3"/>
        <v>28.119999999999997</v>
      </c>
      <c r="K225">
        <v>2013</v>
      </c>
      <c r="L225">
        <v>2020</v>
      </c>
    </row>
    <row r="226" spans="1:12" x14ac:dyDescent="0.5">
      <c r="A226" t="s">
        <v>54</v>
      </c>
      <c r="B226" t="s">
        <v>50</v>
      </c>
      <c r="C226" t="s">
        <v>23</v>
      </c>
      <c r="D226">
        <v>1.5</v>
      </c>
      <c r="E226" t="s">
        <v>118</v>
      </c>
      <c r="F226">
        <v>176</v>
      </c>
      <c r="G226">
        <v>255</v>
      </c>
      <c r="H226">
        <v>23.75</v>
      </c>
      <c r="I226">
        <v>8.57</v>
      </c>
      <c r="J226">
        <f t="shared" si="3"/>
        <v>32.32</v>
      </c>
      <c r="K226">
        <v>2013</v>
      </c>
      <c r="L226">
        <v>2020</v>
      </c>
    </row>
    <row r="227" spans="1:12" x14ac:dyDescent="0.5">
      <c r="A227" t="s">
        <v>54</v>
      </c>
      <c r="B227" t="s">
        <v>50</v>
      </c>
      <c r="C227" t="s">
        <v>23</v>
      </c>
      <c r="D227">
        <v>1.6</v>
      </c>
      <c r="E227" t="s">
        <v>117</v>
      </c>
      <c r="F227">
        <v>88</v>
      </c>
      <c r="G227">
        <v>306</v>
      </c>
      <c r="H227">
        <v>21.11</v>
      </c>
      <c r="I227">
        <v>7.5</v>
      </c>
      <c r="J227">
        <f t="shared" si="3"/>
        <v>28.61</v>
      </c>
      <c r="K227">
        <v>2013</v>
      </c>
      <c r="L227">
        <v>2020</v>
      </c>
    </row>
    <row r="228" spans="1:12" x14ac:dyDescent="0.5">
      <c r="A228" t="s">
        <v>54</v>
      </c>
      <c r="B228" t="s">
        <v>50</v>
      </c>
      <c r="C228" t="s">
        <v>23</v>
      </c>
      <c r="D228">
        <v>1.7</v>
      </c>
      <c r="E228" t="s">
        <v>116</v>
      </c>
      <c r="F228">
        <v>154</v>
      </c>
      <c r="G228">
        <v>765</v>
      </c>
      <c r="H228">
        <v>23.75</v>
      </c>
      <c r="I228">
        <v>10.72</v>
      </c>
      <c r="J228">
        <f t="shared" si="3"/>
        <v>34.47</v>
      </c>
      <c r="K228">
        <v>2013</v>
      </c>
      <c r="L228">
        <v>2020</v>
      </c>
    </row>
    <row r="229" spans="1:12" x14ac:dyDescent="0.5">
      <c r="A229" t="s">
        <v>54</v>
      </c>
      <c r="B229" t="s">
        <v>50</v>
      </c>
      <c r="C229" t="s">
        <v>23</v>
      </c>
      <c r="D229">
        <v>1.8</v>
      </c>
      <c r="E229" t="s">
        <v>115</v>
      </c>
      <c r="F229">
        <v>440</v>
      </c>
      <c r="G229">
        <v>918</v>
      </c>
      <c r="H229">
        <v>74.3</v>
      </c>
      <c r="I229">
        <v>24.69</v>
      </c>
      <c r="J229">
        <f t="shared" si="3"/>
        <v>98.99</v>
      </c>
      <c r="K229">
        <v>2013</v>
      </c>
      <c r="L229">
        <v>2020</v>
      </c>
    </row>
    <row r="230" spans="1:12" x14ac:dyDescent="0.5">
      <c r="A230" t="s">
        <v>54</v>
      </c>
      <c r="B230" t="s">
        <v>50</v>
      </c>
      <c r="C230" t="s">
        <v>23</v>
      </c>
      <c r="D230">
        <v>1.9</v>
      </c>
      <c r="E230" t="s">
        <v>114</v>
      </c>
      <c r="F230">
        <v>0</v>
      </c>
      <c r="G230">
        <v>0</v>
      </c>
      <c r="H230">
        <v>34.450000000000003</v>
      </c>
      <c r="I230">
        <v>7</v>
      </c>
      <c r="J230">
        <f t="shared" si="3"/>
        <v>41.45</v>
      </c>
      <c r="K230">
        <v>2013</v>
      </c>
      <c r="L230">
        <v>2020</v>
      </c>
    </row>
    <row r="231" spans="1:12" x14ac:dyDescent="0.5">
      <c r="A231" t="s">
        <v>54</v>
      </c>
      <c r="B231" t="s">
        <v>50</v>
      </c>
      <c r="C231" t="s">
        <v>23</v>
      </c>
      <c r="D231">
        <v>1.1000000000000001</v>
      </c>
      <c r="E231" t="s">
        <v>113</v>
      </c>
      <c r="F231">
        <v>0</v>
      </c>
      <c r="G231">
        <v>0</v>
      </c>
      <c r="H231">
        <v>26.37</v>
      </c>
      <c r="I231">
        <v>11.8</v>
      </c>
      <c r="J231">
        <f t="shared" si="3"/>
        <v>38.17</v>
      </c>
      <c r="K231">
        <v>2013</v>
      </c>
      <c r="L231">
        <v>2020</v>
      </c>
    </row>
    <row r="232" spans="1:12" x14ac:dyDescent="0.5">
      <c r="A232" t="s">
        <v>55</v>
      </c>
      <c r="B232" t="s">
        <v>56</v>
      </c>
      <c r="C232" t="s">
        <v>33</v>
      </c>
      <c r="D232">
        <v>1.1000000000000001</v>
      </c>
      <c r="E232" t="s">
        <v>122</v>
      </c>
      <c r="F232">
        <v>75.599999999999994</v>
      </c>
      <c r="G232">
        <v>0</v>
      </c>
      <c r="H232">
        <v>6.53</v>
      </c>
      <c r="I232">
        <v>3.91</v>
      </c>
      <c r="J232">
        <f t="shared" si="3"/>
        <v>10.440000000000001</v>
      </c>
      <c r="K232">
        <v>1996</v>
      </c>
      <c r="L232">
        <v>2002</v>
      </c>
    </row>
    <row r="233" spans="1:12" x14ac:dyDescent="0.5">
      <c r="A233" t="s">
        <v>55</v>
      </c>
      <c r="B233" t="s">
        <v>56</v>
      </c>
      <c r="C233" t="s">
        <v>33</v>
      </c>
      <c r="D233">
        <v>1.2</v>
      </c>
      <c r="E233" t="s">
        <v>121</v>
      </c>
      <c r="F233">
        <v>25.2</v>
      </c>
      <c r="G233">
        <v>20.399999999999999</v>
      </c>
      <c r="H233">
        <v>4.08</v>
      </c>
      <c r="I233">
        <v>1.96</v>
      </c>
      <c r="J233">
        <f t="shared" si="3"/>
        <v>6.04</v>
      </c>
      <c r="K233">
        <v>1996</v>
      </c>
      <c r="L233">
        <v>2002</v>
      </c>
    </row>
    <row r="234" spans="1:12" x14ac:dyDescent="0.5">
      <c r="A234" t="s">
        <v>55</v>
      </c>
      <c r="B234" t="s">
        <v>56</v>
      </c>
      <c r="C234" t="s">
        <v>33</v>
      </c>
      <c r="D234">
        <v>1.3</v>
      </c>
      <c r="E234" t="s">
        <v>120</v>
      </c>
      <c r="F234">
        <v>50.4</v>
      </c>
      <c r="G234">
        <v>306</v>
      </c>
      <c r="H234">
        <v>8.17</v>
      </c>
      <c r="I234">
        <v>4.24</v>
      </c>
      <c r="J234">
        <f t="shared" si="3"/>
        <v>12.41</v>
      </c>
      <c r="K234">
        <v>1996</v>
      </c>
      <c r="L234">
        <v>2002</v>
      </c>
    </row>
    <row r="235" spans="1:12" x14ac:dyDescent="0.5">
      <c r="A235" t="s">
        <v>55</v>
      </c>
      <c r="B235" t="s">
        <v>56</v>
      </c>
      <c r="C235" t="s">
        <v>33</v>
      </c>
      <c r="D235">
        <v>1.4</v>
      </c>
      <c r="E235" t="s">
        <v>119</v>
      </c>
      <c r="F235">
        <v>42</v>
      </c>
      <c r="G235">
        <v>6.8</v>
      </c>
      <c r="H235">
        <v>5.72</v>
      </c>
      <c r="I235">
        <v>2.93</v>
      </c>
      <c r="J235">
        <f t="shared" si="3"/>
        <v>8.65</v>
      </c>
      <c r="K235">
        <v>1996</v>
      </c>
      <c r="L235">
        <v>2002</v>
      </c>
    </row>
    <row r="236" spans="1:12" x14ac:dyDescent="0.5">
      <c r="A236" t="s">
        <v>55</v>
      </c>
      <c r="B236" t="s">
        <v>56</v>
      </c>
      <c r="C236" t="s">
        <v>33</v>
      </c>
      <c r="D236">
        <v>1.5</v>
      </c>
      <c r="E236" t="s">
        <v>118</v>
      </c>
      <c r="F236">
        <v>33.6</v>
      </c>
      <c r="G236">
        <v>34</v>
      </c>
      <c r="H236">
        <v>7.35</v>
      </c>
      <c r="I236">
        <v>2.61</v>
      </c>
      <c r="J236">
        <f t="shared" si="3"/>
        <v>9.9599999999999991</v>
      </c>
      <c r="K236">
        <v>1996</v>
      </c>
      <c r="L236">
        <v>2002</v>
      </c>
    </row>
    <row r="237" spans="1:12" x14ac:dyDescent="0.5">
      <c r="A237" t="s">
        <v>55</v>
      </c>
      <c r="B237" t="s">
        <v>56</v>
      </c>
      <c r="C237" t="s">
        <v>33</v>
      </c>
      <c r="D237">
        <v>1.6</v>
      </c>
      <c r="E237" t="s">
        <v>117</v>
      </c>
      <c r="F237">
        <v>16.8</v>
      </c>
      <c r="G237">
        <v>40.799999999999997</v>
      </c>
      <c r="H237">
        <v>6.53</v>
      </c>
      <c r="I237">
        <v>2.2799999999999998</v>
      </c>
      <c r="J237">
        <f t="shared" si="3"/>
        <v>8.81</v>
      </c>
      <c r="K237">
        <v>1996</v>
      </c>
      <c r="L237">
        <v>2002</v>
      </c>
    </row>
    <row r="238" spans="1:12" x14ac:dyDescent="0.5">
      <c r="A238" t="s">
        <v>55</v>
      </c>
      <c r="B238" t="s">
        <v>56</v>
      </c>
      <c r="C238" t="s">
        <v>33</v>
      </c>
      <c r="D238">
        <v>1.7</v>
      </c>
      <c r="E238" t="s">
        <v>116</v>
      </c>
      <c r="F238">
        <v>29.4</v>
      </c>
      <c r="G238">
        <v>102</v>
      </c>
      <c r="H238">
        <v>7.35</v>
      </c>
      <c r="I238">
        <v>3.26</v>
      </c>
      <c r="J238">
        <f t="shared" si="3"/>
        <v>10.61</v>
      </c>
      <c r="K238">
        <v>1996</v>
      </c>
      <c r="L238">
        <v>2002</v>
      </c>
    </row>
    <row r="239" spans="1:12" x14ac:dyDescent="0.5">
      <c r="A239" t="s">
        <v>55</v>
      </c>
      <c r="B239" t="s">
        <v>56</v>
      </c>
      <c r="C239" t="s">
        <v>33</v>
      </c>
      <c r="D239">
        <v>1.8</v>
      </c>
      <c r="E239" t="s">
        <v>115</v>
      </c>
      <c r="F239">
        <v>84</v>
      </c>
      <c r="G239">
        <v>122.4</v>
      </c>
      <c r="H239">
        <v>17.96</v>
      </c>
      <c r="I239">
        <v>5.87</v>
      </c>
      <c r="J239">
        <f t="shared" si="3"/>
        <v>23.830000000000002</v>
      </c>
      <c r="K239">
        <v>1996</v>
      </c>
      <c r="L239">
        <v>2002</v>
      </c>
    </row>
    <row r="240" spans="1:12" x14ac:dyDescent="0.5">
      <c r="A240" t="s">
        <v>55</v>
      </c>
      <c r="B240" t="s">
        <v>56</v>
      </c>
      <c r="C240" t="s">
        <v>33</v>
      </c>
      <c r="D240">
        <v>1.9</v>
      </c>
      <c r="E240" t="s">
        <v>114</v>
      </c>
      <c r="F240">
        <v>0</v>
      </c>
      <c r="G240">
        <v>0</v>
      </c>
      <c r="H240">
        <v>9.4499999999999993</v>
      </c>
      <c r="I240">
        <v>1.89</v>
      </c>
      <c r="J240">
        <f t="shared" si="3"/>
        <v>11.34</v>
      </c>
      <c r="K240">
        <v>1996</v>
      </c>
      <c r="L240">
        <v>2002</v>
      </c>
    </row>
    <row r="241" spans="1:12" x14ac:dyDescent="0.5">
      <c r="A241" t="s">
        <v>55</v>
      </c>
      <c r="B241" t="s">
        <v>56</v>
      </c>
      <c r="C241" t="s">
        <v>33</v>
      </c>
      <c r="D241">
        <v>1.1000000000000001</v>
      </c>
      <c r="E241" t="s">
        <v>113</v>
      </c>
      <c r="F241">
        <v>0</v>
      </c>
      <c r="G241">
        <v>0</v>
      </c>
      <c r="H241">
        <v>8.16</v>
      </c>
      <c r="I241">
        <v>3.57</v>
      </c>
      <c r="J241">
        <f t="shared" si="3"/>
        <v>11.73</v>
      </c>
      <c r="K241">
        <v>1996</v>
      </c>
      <c r="L241">
        <v>2002</v>
      </c>
    </row>
    <row r="242" spans="1:12" x14ac:dyDescent="0.5">
      <c r="A242" t="s">
        <v>58</v>
      </c>
      <c r="B242" t="s">
        <v>56</v>
      </c>
      <c r="C242" t="s">
        <v>33</v>
      </c>
      <c r="D242">
        <v>1.1000000000000001</v>
      </c>
      <c r="E242" t="s">
        <v>122</v>
      </c>
      <c r="F242">
        <v>86.4</v>
      </c>
      <c r="G242">
        <v>0</v>
      </c>
      <c r="H242">
        <v>7.19</v>
      </c>
      <c r="I242">
        <v>4.32</v>
      </c>
      <c r="J242">
        <f t="shared" si="3"/>
        <v>11.510000000000002</v>
      </c>
      <c r="K242">
        <v>1999</v>
      </c>
      <c r="L242">
        <v>2005</v>
      </c>
    </row>
    <row r="243" spans="1:12" x14ac:dyDescent="0.5">
      <c r="A243" t="s">
        <v>58</v>
      </c>
      <c r="B243" t="s">
        <v>56</v>
      </c>
      <c r="C243" t="s">
        <v>33</v>
      </c>
      <c r="D243">
        <v>1.2</v>
      </c>
      <c r="E243" t="s">
        <v>121</v>
      </c>
      <c r="F243">
        <v>28.8</v>
      </c>
      <c r="G243">
        <v>22.5</v>
      </c>
      <c r="H243">
        <v>4.49</v>
      </c>
      <c r="I243">
        <v>2.16</v>
      </c>
      <c r="J243">
        <f t="shared" si="3"/>
        <v>6.65</v>
      </c>
      <c r="K243">
        <v>1999</v>
      </c>
      <c r="L243">
        <v>2005</v>
      </c>
    </row>
    <row r="244" spans="1:12" x14ac:dyDescent="0.5">
      <c r="A244" t="s">
        <v>58</v>
      </c>
      <c r="B244" t="s">
        <v>56</v>
      </c>
      <c r="C244" t="s">
        <v>33</v>
      </c>
      <c r="D244">
        <v>1.3</v>
      </c>
      <c r="E244" t="s">
        <v>120</v>
      </c>
      <c r="F244">
        <v>57.6</v>
      </c>
      <c r="G244">
        <v>337.5</v>
      </c>
      <c r="H244">
        <v>8.99</v>
      </c>
      <c r="I244">
        <v>4.68</v>
      </c>
      <c r="J244">
        <f t="shared" si="3"/>
        <v>13.67</v>
      </c>
      <c r="K244">
        <v>1999</v>
      </c>
      <c r="L244">
        <v>2005</v>
      </c>
    </row>
    <row r="245" spans="1:12" x14ac:dyDescent="0.5">
      <c r="A245" t="s">
        <v>58</v>
      </c>
      <c r="B245" t="s">
        <v>56</v>
      </c>
      <c r="C245" t="s">
        <v>33</v>
      </c>
      <c r="D245">
        <v>1.4</v>
      </c>
      <c r="E245" t="s">
        <v>119</v>
      </c>
      <c r="F245">
        <v>48</v>
      </c>
      <c r="G245">
        <v>7.5</v>
      </c>
      <c r="H245">
        <v>6.29</v>
      </c>
      <c r="I245">
        <v>3.24</v>
      </c>
      <c r="J245">
        <f t="shared" si="3"/>
        <v>9.5300000000000011</v>
      </c>
      <c r="K245">
        <v>1999</v>
      </c>
      <c r="L245">
        <v>2005</v>
      </c>
    </row>
    <row r="246" spans="1:12" x14ac:dyDescent="0.5">
      <c r="A246" t="s">
        <v>58</v>
      </c>
      <c r="B246" t="s">
        <v>56</v>
      </c>
      <c r="C246" t="s">
        <v>33</v>
      </c>
      <c r="D246">
        <v>1.5</v>
      </c>
      <c r="E246" t="s">
        <v>118</v>
      </c>
      <c r="F246">
        <v>38.4</v>
      </c>
      <c r="G246">
        <v>37.5</v>
      </c>
      <c r="H246">
        <v>8.09</v>
      </c>
      <c r="I246">
        <v>2.88</v>
      </c>
      <c r="J246">
        <f t="shared" si="3"/>
        <v>10.969999999999999</v>
      </c>
      <c r="K246">
        <v>1999</v>
      </c>
      <c r="L246">
        <v>2005</v>
      </c>
    </row>
    <row r="247" spans="1:12" x14ac:dyDescent="0.5">
      <c r="A247" t="s">
        <v>58</v>
      </c>
      <c r="B247" t="s">
        <v>56</v>
      </c>
      <c r="C247" t="s">
        <v>33</v>
      </c>
      <c r="D247">
        <v>1.6</v>
      </c>
      <c r="E247" t="s">
        <v>117</v>
      </c>
      <c r="F247">
        <v>19.2</v>
      </c>
      <c r="G247">
        <v>45</v>
      </c>
      <c r="H247">
        <v>7.19</v>
      </c>
      <c r="I247">
        <v>2.52</v>
      </c>
      <c r="J247">
        <f t="shared" si="3"/>
        <v>9.7100000000000009</v>
      </c>
      <c r="K247">
        <v>1999</v>
      </c>
      <c r="L247">
        <v>2005</v>
      </c>
    </row>
    <row r="248" spans="1:12" x14ac:dyDescent="0.5">
      <c r="A248" t="s">
        <v>58</v>
      </c>
      <c r="B248" t="s">
        <v>56</v>
      </c>
      <c r="C248" t="s">
        <v>33</v>
      </c>
      <c r="D248">
        <v>1.7</v>
      </c>
      <c r="E248" t="s">
        <v>116</v>
      </c>
      <c r="F248">
        <v>33.6</v>
      </c>
      <c r="G248">
        <v>112.5</v>
      </c>
      <c r="H248">
        <v>8.09</v>
      </c>
      <c r="I248">
        <v>3.6</v>
      </c>
      <c r="J248">
        <f t="shared" si="3"/>
        <v>11.69</v>
      </c>
      <c r="K248">
        <v>1999</v>
      </c>
      <c r="L248">
        <v>2005</v>
      </c>
    </row>
    <row r="249" spans="1:12" x14ac:dyDescent="0.5">
      <c r="A249" t="s">
        <v>58</v>
      </c>
      <c r="B249" t="s">
        <v>56</v>
      </c>
      <c r="C249" t="s">
        <v>33</v>
      </c>
      <c r="D249">
        <v>1.8</v>
      </c>
      <c r="E249" t="s">
        <v>115</v>
      </c>
      <c r="F249">
        <v>96</v>
      </c>
      <c r="G249">
        <v>135</v>
      </c>
      <c r="H249">
        <v>20.57</v>
      </c>
      <c r="I249">
        <v>6.73</v>
      </c>
      <c r="J249">
        <f t="shared" si="3"/>
        <v>27.3</v>
      </c>
      <c r="K249">
        <v>1999</v>
      </c>
      <c r="L249">
        <v>2005</v>
      </c>
    </row>
    <row r="250" spans="1:12" x14ac:dyDescent="0.5">
      <c r="A250" t="s">
        <v>58</v>
      </c>
      <c r="B250" t="s">
        <v>56</v>
      </c>
      <c r="C250" t="s">
        <v>33</v>
      </c>
      <c r="D250">
        <v>1.9</v>
      </c>
      <c r="E250" t="s">
        <v>114</v>
      </c>
      <c r="F250">
        <v>0</v>
      </c>
      <c r="G250">
        <v>0</v>
      </c>
      <c r="H250">
        <v>10.53</v>
      </c>
      <c r="I250">
        <v>2.11</v>
      </c>
      <c r="J250">
        <f t="shared" si="3"/>
        <v>12.639999999999999</v>
      </c>
      <c r="K250">
        <v>1999</v>
      </c>
      <c r="L250">
        <v>2005</v>
      </c>
    </row>
    <row r="251" spans="1:12" x14ac:dyDescent="0.5">
      <c r="A251" t="s">
        <v>58</v>
      </c>
      <c r="B251" t="s">
        <v>56</v>
      </c>
      <c r="C251" t="s">
        <v>33</v>
      </c>
      <c r="D251">
        <v>1.1000000000000001</v>
      </c>
      <c r="E251" t="s">
        <v>113</v>
      </c>
      <c r="F251">
        <v>0</v>
      </c>
      <c r="G251">
        <v>0</v>
      </c>
      <c r="H251">
        <v>9</v>
      </c>
      <c r="I251">
        <v>3.93</v>
      </c>
      <c r="J251">
        <f t="shared" si="3"/>
        <v>12.93</v>
      </c>
      <c r="K251">
        <v>1999</v>
      </c>
      <c r="L251">
        <v>2005</v>
      </c>
    </row>
    <row r="252" spans="1:12" x14ac:dyDescent="0.5">
      <c r="A252" t="s">
        <v>59</v>
      </c>
      <c r="B252" t="s">
        <v>56</v>
      </c>
      <c r="C252" t="s">
        <v>33</v>
      </c>
      <c r="D252">
        <v>1.1000000000000001</v>
      </c>
      <c r="E252" t="s">
        <v>122</v>
      </c>
      <c r="F252">
        <v>95.4</v>
      </c>
      <c r="G252">
        <v>0</v>
      </c>
      <c r="H252">
        <v>6.42</v>
      </c>
      <c r="I252">
        <v>3.86</v>
      </c>
      <c r="J252">
        <f t="shared" si="3"/>
        <v>10.28</v>
      </c>
      <c r="K252">
        <v>2002</v>
      </c>
      <c r="L252">
        <v>2008</v>
      </c>
    </row>
    <row r="253" spans="1:12" x14ac:dyDescent="0.5">
      <c r="A253" t="s">
        <v>59</v>
      </c>
      <c r="B253" t="s">
        <v>56</v>
      </c>
      <c r="C253" t="s">
        <v>33</v>
      </c>
      <c r="D253">
        <v>1.2</v>
      </c>
      <c r="E253" t="s">
        <v>121</v>
      </c>
      <c r="F253">
        <v>31.8</v>
      </c>
      <c r="G253">
        <v>24.6</v>
      </c>
      <c r="H253">
        <v>4.01</v>
      </c>
      <c r="I253">
        <v>1.93</v>
      </c>
      <c r="J253">
        <f t="shared" si="3"/>
        <v>5.9399999999999995</v>
      </c>
      <c r="K253">
        <v>2002</v>
      </c>
      <c r="L253">
        <v>2008</v>
      </c>
    </row>
    <row r="254" spans="1:12" x14ac:dyDescent="0.5">
      <c r="A254" t="s">
        <v>59</v>
      </c>
      <c r="B254" t="s">
        <v>56</v>
      </c>
      <c r="C254" t="s">
        <v>33</v>
      </c>
      <c r="D254">
        <v>1.3</v>
      </c>
      <c r="E254" t="s">
        <v>120</v>
      </c>
      <c r="F254">
        <v>63.6</v>
      </c>
      <c r="G254">
        <v>369</v>
      </c>
      <c r="H254">
        <v>8.0299999999999994</v>
      </c>
      <c r="I254">
        <v>4.18</v>
      </c>
      <c r="J254">
        <f t="shared" si="3"/>
        <v>12.209999999999999</v>
      </c>
      <c r="K254">
        <v>2002</v>
      </c>
      <c r="L254">
        <v>2008</v>
      </c>
    </row>
    <row r="255" spans="1:12" x14ac:dyDescent="0.5">
      <c r="A255" t="s">
        <v>59</v>
      </c>
      <c r="B255" t="s">
        <v>56</v>
      </c>
      <c r="C255" t="s">
        <v>33</v>
      </c>
      <c r="D255">
        <v>1.4</v>
      </c>
      <c r="E255" t="s">
        <v>119</v>
      </c>
      <c r="F255">
        <v>53</v>
      </c>
      <c r="G255">
        <v>8.1999999999999993</v>
      </c>
      <c r="H255">
        <v>5.62</v>
      </c>
      <c r="I255">
        <v>2.89</v>
      </c>
      <c r="J255">
        <f t="shared" si="3"/>
        <v>8.51</v>
      </c>
      <c r="K255">
        <v>2002</v>
      </c>
      <c r="L255">
        <v>2008</v>
      </c>
    </row>
    <row r="256" spans="1:12" x14ac:dyDescent="0.5">
      <c r="A256" t="s">
        <v>59</v>
      </c>
      <c r="B256" t="s">
        <v>56</v>
      </c>
      <c r="C256" t="s">
        <v>33</v>
      </c>
      <c r="D256">
        <v>1.5</v>
      </c>
      <c r="E256" t="s">
        <v>118</v>
      </c>
      <c r="F256">
        <v>42.4</v>
      </c>
      <c r="G256">
        <v>41</v>
      </c>
      <c r="H256">
        <v>7.22</v>
      </c>
      <c r="I256">
        <v>2.57</v>
      </c>
      <c r="J256">
        <f t="shared" si="3"/>
        <v>9.7899999999999991</v>
      </c>
      <c r="K256">
        <v>2002</v>
      </c>
      <c r="L256">
        <v>2008</v>
      </c>
    </row>
    <row r="257" spans="1:12" x14ac:dyDescent="0.5">
      <c r="A257" t="s">
        <v>59</v>
      </c>
      <c r="B257" t="s">
        <v>56</v>
      </c>
      <c r="C257" t="s">
        <v>33</v>
      </c>
      <c r="D257">
        <v>1.6</v>
      </c>
      <c r="E257" t="s">
        <v>117</v>
      </c>
      <c r="F257">
        <v>21.2</v>
      </c>
      <c r="G257">
        <v>49.2</v>
      </c>
      <c r="H257">
        <v>6.42</v>
      </c>
      <c r="I257">
        <v>2.25</v>
      </c>
      <c r="J257">
        <f t="shared" si="3"/>
        <v>8.67</v>
      </c>
      <c r="K257">
        <v>2002</v>
      </c>
      <c r="L257">
        <v>2008</v>
      </c>
    </row>
    <row r="258" spans="1:12" x14ac:dyDescent="0.5">
      <c r="A258" t="s">
        <v>59</v>
      </c>
      <c r="B258" t="s">
        <v>56</v>
      </c>
      <c r="C258" t="s">
        <v>33</v>
      </c>
      <c r="D258">
        <v>1.7</v>
      </c>
      <c r="E258" t="s">
        <v>116</v>
      </c>
      <c r="F258">
        <v>37.1</v>
      </c>
      <c r="G258">
        <v>123</v>
      </c>
      <c r="H258">
        <v>7.22</v>
      </c>
      <c r="I258">
        <v>3.21</v>
      </c>
      <c r="J258">
        <f t="shared" si="3"/>
        <v>10.43</v>
      </c>
      <c r="K258">
        <v>2002</v>
      </c>
      <c r="L258">
        <v>2008</v>
      </c>
    </row>
    <row r="259" spans="1:12" x14ac:dyDescent="0.5">
      <c r="A259" t="s">
        <v>59</v>
      </c>
      <c r="B259" t="s">
        <v>56</v>
      </c>
      <c r="C259" t="s">
        <v>33</v>
      </c>
      <c r="D259">
        <v>1.8</v>
      </c>
      <c r="E259" t="s">
        <v>115</v>
      </c>
      <c r="F259">
        <v>106</v>
      </c>
      <c r="G259">
        <v>147.6</v>
      </c>
      <c r="H259">
        <v>18.36</v>
      </c>
      <c r="I259">
        <v>6.02</v>
      </c>
      <c r="J259">
        <f t="shared" ref="J259:J322" si="4">SUM(H259:I259)</f>
        <v>24.38</v>
      </c>
      <c r="K259">
        <v>2002</v>
      </c>
      <c r="L259">
        <v>2008</v>
      </c>
    </row>
    <row r="260" spans="1:12" x14ac:dyDescent="0.5">
      <c r="A260" t="s">
        <v>59</v>
      </c>
      <c r="B260" t="s">
        <v>56</v>
      </c>
      <c r="C260" t="s">
        <v>33</v>
      </c>
      <c r="D260">
        <v>1.9</v>
      </c>
      <c r="E260" t="s">
        <v>114</v>
      </c>
      <c r="F260">
        <v>0</v>
      </c>
      <c r="G260">
        <v>0</v>
      </c>
      <c r="H260">
        <v>9.52</v>
      </c>
      <c r="I260">
        <v>1.9</v>
      </c>
      <c r="J260">
        <f t="shared" si="4"/>
        <v>11.42</v>
      </c>
      <c r="K260">
        <v>2002</v>
      </c>
      <c r="L260">
        <v>2008</v>
      </c>
    </row>
    <row r="261" spans="1:12" x14ac:dyDescent="0.5">
      <c r="A261" t="s">
        <v>59</v>
      </c>
      <c r="B261" t="s">
        <v>56</v>
      </c>
      <c r="C261" t="s">
        <v>33</v>
      </c>
      <c r="D261">
        <v>1.1000000000000001</v>
      </c>
      <c r="E261" t="s">
        <v>113</v>
      </c>
      <c r="F261">
        <v>0</v>
      </c>
      <c r="G261">
        <v>0</v>
      </c>
      <c r="H261">
        <v>8.0299999999999994</v>
      </c>
      <c r="I261">
        <v>3.53</v>
      </c>
      <c r="J261">
        <f t="shared" si="4"/>
        <v>11.559999999999999</v>
      </c>
      <c r="K261">
        <v>2002</v>
      </c>
      <c r="L261">
        <v>2008</v>
      </c>
    </row>
    <row r="262" spans="1:12" x14ac:dyDescent="0.5">
      <c r="A262" t="s">
        <v>60</v>
      </c>
      <c r="B262" t="s">
        <v>56</v>
      </c>
      <c r="C262" t="s">
        <v>33</v>
      </c>
      <c r="D262">
        <v>1.1000000000000001</v>
      </c>
      <c r="E262" t="s">
        <v>122</v>
      </c>
      <c r="F262">
        <v>106.2</v>
      </c>
      <c r="G262">
        <v>0</v>
      </c>
      <c r="H262">
        <v>6.94</v>
      </c>
      <c r="I262">
        <v>4.18</v>
      </c>
      <c r="J262">
        <f t="shared" si="4"/>
        <v>11.120000000000001</v>
      </c>
      <c r="K262">
        <v>2005</v>
      </c>
      <c r="L262">
        <v>2011</v>
      </c>
    </row>
    <row r="263" spans="1:12" x14ac:dyDescent="0.5">
      <c r="A263" t="s">
        <v>60</v>
      </c>
      <c r="B263" t="s">
        <v>56</v>
      </c>
      <c r="C263" t="s">
        <v>33</v>
      </c>
      <c r="D263">
        <v>1.2</v>
      </c>
      <c r="E263" t="s">
        <v>121</v>
      </c>
      <c r="F263">
        <v>35.4</v>
      </c>
      <c r="G263">
        <v>27</v>
      </c>
      <c r="H263">
        <v>4.34</v>
      </c>
      <c r="I263">
        <v>2.09</v>
      </c>
      <c r="J263">
        <f t="shared" si="4"/>
        <v>6.43</v>
      </c>
      <c r="K263">
        <v>2005</v>
      </c>
      <c r="L263">
        <v>2011</v>
      </c>
    </row>
    <row r="264" spans="1:12" x14ac:dyDescent="0.5">
      <c r="A264" t="s">
        <v>60</v>
      </c>
      <c r="B264" t="s">
        <v>56</v>
      </c>
      <c r="C264" t="s">
        <v>33</v>
      </c>
      <c r="D264">
        <v>1.3</v>
      </c>
      <c r="E264" t="s">
        <v>120</v>
      </c>
      <c r="F264">
        <v>70.8</v>
      </c>
      <c r="G264">
        <v>405</v>
      </c>
      <c r="H264">
        <v>8.68</v>
      </c>
      <c r="I264">
        <v>4.53</v>
      </c>
      <c r="J264">
        <f t="shared" si="4"/>
        <v>13.21</v>
      </c>
      <c r="K264">
        <v>2005</v>
      </c>
      <c r="L264">
        <v>2011</v>
      </c>
    </row>
    <row r="265" spans="1:12" x14ac:dyDescent="0.5">
      <c r="A265" t="s">
        <v>60</v>
      </c>
      <c r="B265" t="s">
        <v>56</v>
      </c>
      <c r="C265" t="s">
        <v>33</v>
      </c>
      <c r="D265">
        <v>1.4</v>
      </c>
      <c r="E265" t="s">
        <v>119</v>
      </c>
      <c r="F265">
        <v>59</v>
      </c>
      <c r="G265">
        <v>9</v>
      </c>
      <c r="H265">
        <v>6.07</v>
      </c>
      <c r="I265">
        <v>3.13</v>
      </c>
      <c r="J265">
        <f t="shared" si="4"/>
        <v>9.1999999999999993</v>
      </c>
      <c r="K265">
        <v>2005</v>
      </c>
      <c r="L265">
        <v>2011</v>
      </c>
    </row>
    <row r="266" spans="1:12" x14ac:dyDescent="0.5">
      <c r="A266" t="s">
        <v>60</v>
      </c>
      <c r="B266" t="s">
        <v>56</v>
      </c>
      <c r="C266" t="s">
        <v>33</v>
      </c>
      <c r="D266">
        <v>1.5</v>
      </c>
      <c r="E266" t="s">
        <v>118</v>
      </c>
      <c r="F266">
        <v>47.2</v>
      </c>
      <c r="G266">
        <v>45</v>
      </c>
      <c r="H266">
        <v>7.81</v>
      </c>
      <c r="I266">
        <v>2.79</v>
      </c>
      <c r="J266">
        <f t="shared" si="4"/>
        <v>10.6</v>
      </c>
      <c r="K266">
        <v>2005</v>
      </c>
      <c r="L266">
        <v>2011</v>
      </c>
    </row>
    <row r="267" spans="1:12" x14ac:dyDescent="0.5">
      <c r="A267" t="s">
        <v>60</v>
      </c>
      <c r="B267" t="s">
        <v>56</v>
      </c>
      <c r="C267" t="s">
        <v>33</v>
      </c>
      <c r="D267">
        <v>1.6</v>
      </c>
      <c r="E267" t="s">
        <v>117</v>
      </c>
      <c r="F267">
        <v>23.6</v>
      </c>
      <c r="G267">
        <v>54</v>
      </c>
      <c r="H267">
        <v>6.94</v>
      </c>
      <c r="I267">
        <v>2.44</v>
      </c>
      <c r="J267">
        <f t="shared" si="4"/>
        <v>9.3800000000000008</v>
      </c>
      <c r="K267">
        <v>2005</v>
      </c>
      <c r="L267">
        <v>2011</v>
      </c>
    </row>
    <row r="268" spans="1:12" x14ac:dyDescent="0.5">
      <c r="A268" t="s">
        <v>60</v>
      </c>
      <c r="B268" t="s">
        <v>56</v>
      </c>
      <c r="C268" t="s">
        <v>33</v>
      </c>
      <c r="D268">
        <v>1.7</v>
      </c>
      <c r="E268" t="s">
        <v>116</v>
      </c>
      <c r="F268">
        <v>41.3</v>
      </c>
      <c r="G268">
        <v>135</v>
      </c>
      <c r="H268">
        <v>7.81</v>
      </c>
      <c r="I268">
        <v>3.48</v>
      </c>
      <c r="J268">
        <f t="shared" si="4"/>
        <v>11.29</v>
      </c>
      <c r="K268">
        <v>2005</v>
      </c>
      <c r="L268">
        <v>2011</v>
      </c>
    </row>
    <row r="269" spans="1:12" x14ac:dyDescent="0.5">
      <c r="A269" t="s">
        <v>60</v>
      </c>
      <c r="B269" t="s">
        <v>56</v>
      </c>
      <c r="C269" t="s">
        <v>33</v>
      </c>
      <c r="D269">
        <v>1.8</v>
      </c>
      <c r="E269" t="s">
        <v>115</v>
      </c>
      <c r="F269">
        <v>118</v>
      </c>
      <c r="G269">
        <v>162</v>
      </c>
      <c r="H269">
        <v>20.62</v>
      </c>
      <c r="I269">
        <v>6.77</v>
      </c>
      <c r="J269">
        <f t="shared" si="4"/>
        <v>27.39</v>
      </c>
      <c r="K269">
        <v>2005</v>
      </c>
      <c r="L269">
        <v>2011</v>
      </c>
    </row>
    <row r="270" spans="1:12" x14ac:dyDescent="0.5">
      <c r="A270" t="s">
        <v>60</v>
      </c>
      <c r="B270" t="s">
        <v>56</v>
      </c>
      <c r="C270" t="s">
        <v>33</v>
      </c>
      <c r="D270">
        <v>1.9</v>
      </c>
      <c r="E270" t="s">
        <v>114</v>
      </c>
      <c r="F270">
        <v>0</v>
      </c>
      <c r="G270">
        <v>0</v>
      </c>
      <c r="H270">
        <v>10.41</v>
      </c>
      <c r="I270">
        <v>2.09</v>
      </c>
      <c r="J270">
        <f t="shared" si="4"/>
        <v>12.5</v>
      </c>
      <c r="K270">
        <v>2005</v>
      </c>
      <c r="L270">
        <v>2011</v>
      </c>
    </row>
    <row r="271" spans="1:12" x14ac:dyDescent="0.5">
      <c r="A271" t="s">
        <v>60</v>
      </c>
      <c r="B271" t="s">
        <v>56</v>
      </c>
      <c r="C271" t="s">
        <v>33</v>
      </c>
      <c r="D271">
        <v>1.1000000000000001</v>
      </c>
      <c r="E271" t="s">
        <v>113</v>
      </c>
      <c r="F271">
        <v>0</v>
      </c>
      <c r="G271">
        <v>0</v>
      </c>
      <c r="H271">
        <v>8.69</v>
      </c>
      <c r="I271">
        <v>3.82</v>
      </c>
      <c r="J271">
        <f t="shared" si="4"/>
        <v>12.51</v>
      </c>
      <c r="K271">
        <v>2005</v>
      </c>
      <c r="L271">
        <v>2011</v>
      </c>
    </row>
    <row r="272" spans="1:12" x14ac:dyDescent="0.5">
      <c r="A272" t="s">
        <v>61</v>
      </c>
      <c r="B272" t="s">
        <v>56</v>
      </c>
      <c r="C272" t="s">
        <v>62</v>
      </c>
      <c r="D272">
        <v>1.1000000000000001</v>
      </c>
      <c r="E272" t="s">
        <v>122</v>
      </c>
      <c r="F272">
        <v>117</v>
      </c>
      <c r="G272">
        <v>0</v>
      </c>
      <c r="H272">
        <v>7.43</v>
      </c>
      <c r="I272">
        <v>4.4800000000000004</v>
      </c>
      <c r="J272">
        <f t="shared" si="4"/>
        <v>11.91</v>
      </c>
      <c r="K272">
        <v>2008</v>
      </c>
      <c r="L272">
        <v>2014</v>
      </c>
    </row>
    <row r="273" spans="1:12" x14ac:dyDescent="0.5">
      <c r="A273" t="s">
        <v>61</v>
      </c>
      <c r="B273" t="s">
        <v>56</v>
      </c>
      <c r="C273" t="s">
        <v>62</v>
      </c>
      <c r="D273">
        <v>1.2</v>
      </c>
      <c r="E273" t="s">
        <v>121</v>
      </c>
      <c r="F273">
        <v>39</v>
      </c>
      <c r="G273">
        <v>29.4</v>
      </c>
      <c r="H273">
        <v>4.6399999999999997</v>
      </c>
      <c r="I273">
        <v>2.2400000000000002</v>
      </c>
      <c r="J273">
        <f t="shared" si="4"/>
        <v>6.88</v>
      </c>
      <c r="K273">
        <v>2008</v>
      </c>
      <c r="L273">
        <v>2014</v>
      </c>
    </row>
    <row r="274" spans="1:12" x14ac:dyDescent="0.5">
      <c r="A274" t="s">
        <v>61</v>
      </c>
      <c r="B274" t="s">
        <v>56</v>
      </c>
      <c r="C274" t="s">
        <v>62</v>
      </c>
      <c r="D274">
        <v>1.3</v>
      </c>
      <c r="E274" t="s">
        <v>120</v>
      </c>
      <c r="F274">
        <v>78</v>
      </c>
      <c r="G274">
        <v>441</v>
      </c>
      <c r="H274">
        <v>9.2899999999999991</v>
      </c>
      <c r="I274">
        <v>4.8499999999999996</v>
      </c>
      <c r="J274">
        <f t="shared" si="4"/>
        <v>14.139999999999999</v>
      </c>
      <c r="K274">
        <v>2008</v>
      </c>
      <c r="L274">
        <v>2014</v>
      </c>
    </row>
    <row r="275" spans="1:12" x14ac:dyDescent="0.5">
      <c r="A275" t="s">
        <v>61</v>
      </c>
      <c r="B275" t="s">
        <v>56</v>
      </c>
      <c r="C275" t="s">
        <v>62</v>
      </c>
      <c r="D275">
        <v>1.4</v>
      </c>
      <c r="E275" t="s">
        <v>119</v>
      </c>
      <c r="F275">
        <v>65</v>
      </c>
      <c r="G275">
        <v>9.8000000000000007</v>
      </c>
      <c r="H275">
        <v>6.5</v>
      </c>
      <c r="I275">
        <v>3.36</v>
      </c>
      <c r="J275">
        <f t="shared" si="4"/>
        <v>9.86</v>
      </c>
      <c r="K275">
        <v>2008</v>
      </c>
      <c r="L275">
        <v>2014</v>
      </c>
    </row>
    <row r="276" spans="1:12" x14ac:dyDescent="0.5">
      <c r="A276" t="s">
        <v>61</v>
      </c>
      <c r="B276" t="s">
        <v>56</v>
      </c>
      <c r="C276" t="s">
        <v>62</v>
      </c>
      <c r="D276">
        <v>1.5</v>
      </c>
      <c r="E276" t="s">
        <v>118</v>
      </c>
      <c r="F276">
        <v>52</v>
      </c>
      <c r="G276">
        <v>49</v>
      </c>
      <c r="H276">
        <v>8.36</v>
      </c>
      <c r="I276">
        <v>2.98</v>
      </c>
      <c r="J276">
        <f t="shared" si="4"/>
        <v>11.34</v>
      </c>
      <c r="K276">
        <v>2008</v>
      </c>
      <c r="L276">
        <v>2014</v>
      </c>
    </row>
    <row r="277" spans="1:12" x14ac:dyDescent="0.5">
      <c r="A277" t="s">
        <v>61</v>
      </c>
      <c r="B277" t="s">
        <v>56</v>
      </c>
      <c r="C277" t="s">
        <v>62</v>
      </c>
      <c r="D277">
        <v>1.6</v>
      </c>
      <c r="E277" t="s">
        <v>117</v>
      </c>
      <c r="F277">
        <v>26</v>
      </c>
      <c r="G277">
        <v>58.8</v>
      </c>
      <c r="H277">
        <v>7.43</v>
      </c>
      <c r="I277">
        <v>2.61</v>
      </c>
      <c r="J277">
        <f t="shared" si="4"/>
        <v>10.039999999999999</v>
      </c>
      <c r="K277">
        <v>2008</v>
      </c>
      <c r="L277">
        <v>2014</v>
      </c>
    </row>
    <row r="278" spans="1:12" x14ac:dyDescent="0.5">
      <c r="A278" t="s">
        <v>61</v>
      </c>
      <c r="B278" t="s">
        <v>56</v>
      </c>
      <c r="C278" t="s">
        <v>62</v>
      </c>
      <c r="D278">
        <v>1.7</v>
      </c>
      <c r="E278" t="s">
        <v>116</v>
      </c>
      <c r="F278">
        <v>45.5</v>
      </c>
      <c r="G278">
        <v>147</v>
      </c>
      <c r="H278">
        <v>8.36</v>
      </c>
      <c r="I278">
        <v>3.73</v>
      </c>
      <c r="J278">
        <f t="shared" si="4"/>
        <v>12.09</v>
      </c>
      <c r="K278">
        <v>2008</v>
      </c>
      <c r="L278">
        <v>2014</v>
      </c>
    </row>
    <row r="279" spans="1:12" x14ac:dyDescent="0.5">
      <c r="A279" t="s">
        <v>61</v>
      </c>
      <c r="B279" t="s">
        <v>56</v>
      </c>
      <c r="C279" t="s">
        <v>62</v>
      </c>
      <c r="D279">
        <v>1.8</v>
      </c>
      <c r="E279" t="s">
        <v>115</v>
      </c>
      <c r="F279">
        <v>130</v>
      </c>
      <c r="G279">
        <v>176.4</v>
      </c>
      <c r="H279">
        <v>22.07</v>
      </c>
      <c r="I279">
        <v>7.25</v>
      </c>
      <c r="J279">
        <f t="shared" si="4"/>
        <v>29.32</v>
      </c>
      <c r="K279">
        <v>2008</v>
      </c>
      <c r="L279">
        <v>2014</v>
      </c>
    </row>
    <row r="280" spans="1:12" x14ac:dyDescent="0.5">
      <c r="A280" t="s">
        <v>61</v>
      </c>
      <c r="B280" t="s">
        <v>56</v>
      </c>
      <c r="C280" t="s">
        <v>62</v>
      </c>
      <c r="D280">
        <v>1.9</v>
      </c>
      <c r="E280" t="s">
        <v>114</v>
      </c>
      <c r="F280">
        <v>0</v>
      </c>
      <c r="G280">
        <v>0</v>
      </c>
      <c r="H280">
        <v>11.28</v>
      </c>
      <c r="I280">
        <v>2.2599999999999998</v>
      </c>
      <c r="J280">
        <f t="shared" si="4"/>
        <v>13.54</v>
      </c>
      <c r="K280">
        <v>2008</v>
      </c>
      <c r="L280">
        <v>2014</v>
      </c>
    </row>
    <row r="281" spans="1:12" x14ac:dyDescent="0.5">
      <c r="A281" t="s">
        <v>61</v>
      </c>
      <c r="B281" t="s">
        <v>56</v>
      </c>
      <c r="C281" t="s">
        <v>62</v>
      </c>
      <c r="D281">
        <v>1.1000000000000001</v>
      </c>
      <c r="E281" t="s">
        <v>113</v>
      </c>
      <c r="F281">
        <v>0</v>
      </c>
      <c r="G281">
        <v>0</v>
      </c>
      <c r="H281">
        <v>9.2799999999999994</v>
      </c>
      <c r="I281">
        <v>4.0999999999999996</v>
      </c>
      <c r="J281">
        <f t="shared" si="4"/>
        <v>13.379999999999999</v>
      </c>
      <c r="K281">
        <v>2008</v>
      </c>
      <c r="L281">
        <v>2014</v>
      </c>
    </row>
    <row r="282" spans="1:12" x14ac:dyDescent="0.5">
      <c r="A282" t="s">
        <v>63</v>
      </c>
      <c r="B282" t="s">
        <v>56</v>
      </c>
      <c r="C282" t="s">
        <v>62</v>
      </c>
      <c r="D282">
        <v>1.1000000000000001</v>
      </c>
      <c r="E282" t="s">
        <v>122</v>
      </c>
      <c r="F282">
        <v>129.6</v>
      </c>
      <c r="G282">
        <v>0</v>
      </c>
      <c r="H282">
        <v>8.02</v>
      </c>
      <c r="I282">
        <v>4.84</v>
      </c>
      <c r="J282">
        <f t="shared" si="4"/>
        <v>12.86</v>
      </c>
      <c r="K282">
        <v>2011</v>
      </c>
      <c r="L282">
        <v>2017</v>
      </c>
    </row>
    <row r="283" spans="1:12" x14ac:dyDescent="0.5">
      <c r="A283" t="s">
        <v>63</v>
      </c>
      <c r="B283" t="s">
        <v>56</v>
      </c>
      <c r="C283" t="s">
        <v>62</v>
      </c>
      <c r="D283">
        <v>1.2</v>
      </c>
      <c r="E283" t="s">
        <v>121</v>
      </c>
      <c r="F283">
        <v>43.2</v>
      </c>
      <c r="G283">
        <v>32.4</v>
      </c>
      <c r="H283">
        <v>5.01</v>
      </c>
      <c r="I283">
        <v>2.42</v>
      </c>
      <c r="J283">
        <f t="shared" si="4"/>
        <v>7.43</v>
      </c>
      <c r="K283">
        <v>2011</v>
      </c>
      <c r="L283">
        <v>2017</v>
      </c>
    </row>
    <row r="284" spans="1:12" x14ac:dyDescent="0.5">
      <c r="A284" t="s">
        <v>63</v>
      </c>
      <c r="B284" t="s">
        <v>56</v>
      </c>
      <c r="C284" t="s">
        <v>62</v>
      </c>
      <c r="D284">
        <v>1.3</v>
      </c>
      <c r="E284" t="s">
        <v>120</v>
      </c>
      <c r="F284">
        <v>86.4</v>
      </c>
      <c r="G284">
        <v>486</v>
      </c>
      <c r="H284">
        <v>10.02</v>
      </c>
      <c r="I284">
        <v>5.24</v>
      </c>
      <c r="J284">
        <f t="shared" si="4"/>
        <v>15.26</v>
      </c>
      <c r="K284">
        <v>2011</v>
      </c>
      <c r="L284">
        <v>2017</v>
      </c>
    </row>
    <row r="285" spans="1:12" x14ac:dyDescent="0.5">
      <c r="A285" t="s">
        <v>63</v>
      </c>
      <c r="B285" t="s">
        <v>56</v>
      </c>
      <c r="C285" t="s">
        <v>62</v>
      </c>
      <c r="D285">
        <v>1.4</v>
      </c>
      <c r="E285" t="s">
        <v>119</v>
      </c>
      <c r="F285">
        <v>72</v>
      </c>
      <c r="G285">
        <v>10.8</v>
      </c>
      <c r="H285">
        <v>7.01</v>
      </c>
      <c r="I285">
        <v>3.63</v>
      </c>
      <c r="J285">
        <f t="shared" si="4"/>
        <v>10.64</v>
      </c>
      <c r="K285">
        <v>2011</v>
      </c>
      <c r="L285">
        <v>2017</v>
      </c>
    </row>
    <row r="286" spans="1:12" x14ac:dyDescent="0.5">
      <c r="A286" t="s">
        <v>63</v>
      </c>
      <c r="B286" t="s">
        <v>56</v>
      </c>
      <c r="C286" t="s">
        <v>62</v>
      </c>
      <c r="D286">
        <v>1.5</v>
      </c>
      <c r="E286" t="s">
        <v>118</v>
      </c>
      <c r="F286">
        <v>57.6</v>
      </c>
      <c r="G286">
        <v>54</v>
      </c>
      <c r="H286">
        <v>9.02</v>
      </c>
      <c r="I286">
        <v>3.23</v>
      </c>
      <c r="J286">
        <f t="shared" si="4"/>
        <v>12.25</v>
      </c>
      <c r="K286">
        <v>2011</v>
      </c>
      <c r="L286">
        <v>2017</v>
      </c>
    </row>
    <row r="287" spans="1:12" x14ac:dyDescent="0.5">
      <c r="A287" t="s">
        <v>63</v>
      </c>
      <c r="B287" t="s">
        <v>56</v>
      </c>
      <c r="C287" t="s">
        <v>62</v>
      </c>
      <c r="D287">
        <v>1.6</v>
      </c>
      <c r="E287" t="s">
        <v>117</v>
      </c>
      <c r="F287">
        <v>28.8</v>
      </c>
      <c r="G287">
        <v>64.8</v>
      </c>
      <c r="H287">
        <v>8.02</v>
      </c>
      <c r="I287">
        <v>2.82</v>
      </c>
      <c r="J287">
        <f t="shared" si="4"/>
        <v>10.84</v>
      </c>
      <c r="K287">
        <v>2011</v>
      </c>
      <c r="L287">
        <v>2017</v>
      </c>
    </row>
    <row r="288" spans="1:12" x14ac:dyDescent="0.5">
      <c r="A288" t="s">
        <v>63</v>
      </c>
      <c r="B288" t="s">
        <v>56</v>
      </c>
      <c r="C288" t="s">
        <v>62</v>
      </c>
      <c r="D288">
        <v>1.7</v>
      </c>
      <c r="E288" t="s">
        <v>116</v>
      </c>
      <c r="F288">
        <v>50.4</v>
      </c>
      <c r="G288">
        <v>162</v>
      </c>
      <c r="H288">
        <v>9.02</v>
      </c>
      <c r="I288">
        <v>4.03</v>
      </c>
      <c r="J288">
        <f t="shared" si="4"/>
        <v>13.05</v>
      </c>
      <c r="K288">
        <v>2011</v>
      </c>
      <c r="L288">
        <v>2017</v>
      </c>
    </row>
    <row r="289" spans="1:12" x14ac:dyDescent="0.5">
      <c r="A289" t="s">
        <v>63</v>
      </c>
      <c r="B289" t="s">
        <v>56</v>
      </c>
      <c r="C289" t="s">
        <v>62</v>
      </c>
      <c r="D289">
        <v>1.8</v>
      </c>
      <c r="E289" t="s">
        <v>115</v>
      </c>
      <c r="F289">
        <v>144</v>
      </c>
      <c r="G289">
        <v>194.4</v>
      </c>
      <c r="H289">
        <v>24.69</v>
      </c>
      <c r="I289">
        <v>8.1300000000000008</v>
      </c>
      <c r="J289">
        <f t="shared" si="4"/>
        <v>32.82</v>
      </c>
      <c r="K289">
        <v>2011</v>
      </c>
      <c r="L289">
        <v>2017</v>
      </c>
    </row>
    <row r="290" spans="1:12" x14ac:dyDescent="0.5">
      <c r="A290" t="s">
        <v>63</v>
      </c>
      <c r="B290" t="s">
        <v>56</v>
      </c>
      <c r="C290" t="s">
        <v>62</v>
      </c>
      <c r="D290">
        <v>1.9</v>
      </c>
      <c r="E290" t="s">
        <v>114</v>
      </c>
      <c r="F290">
        <v>0</v>
      </c>
      <c r="G290">
        <v>0</v>
      </c>
      <c r="H290">
        <v>12.31</v>
      </c>
      <c r="I290">
        <v>2.48</v>
      </c>
      <c r="J290">
        <f t="shared" si="4"/>
        <v>14.790000000000001</v>
      </c>
      <c r="K290">
        <v>2011</v>
      </c>
      <c r="L290">
        <v>2017</v>
      </c>
    </row>
    <row r="291" spans="1:12" x14ac:dyDescent="0.5">
      <c r="A291" t="s">
        <v>63</v>
      </c>
      <c r="B291" t="s">
        <v>56</v>
      </c>
      <c r="C291" t="s">
        <v>62</v>
      </c>
      <c r="D291">
        <v>1.1000000000000001</v>
      </c>
      <c r="E291" t="s">
        <v>113</v>
      </c>
      <c r="F291">
        <v>0</v>
      </c>
      <c r="G291">
        <v>0</v>
      </c>
      <c r="H291">
        <v>10.01</v>
      </c>
      <c r="I291">
        <v>4.43</v>
      </c>
      <c r="J291">
        <f t="shared" si="4"/>
        <v>14.44</v>
      </c>
      <c r="K291">
        <v>2011</v>
      </c>
      <c r="L291">
        <v>2017</v>
      </c>
    </row>
    <row r="292" spans="1:12" x14ac:dyDescent="0.5">
      <c r="A292" t="s">
        <v>64</v>
      </c>
      <c r="B292" t="s">
        <v>56</v>
      </c>
      <c r="C292" t="s">
        <v>62</v>
      </c>
      <c r="D292">
        <v>1.1000000000000001</v>
      </c>
      <c r="E292" t="s">
        <v>122</v>
      </c>
      <c r="F292">
        <v>145.80000000000001</v>
      </c>
      <c r="G292">
        <v>0</v>
      </c>
      <c r="H292">
        <v>9.35</v>
      </c>
      <c r="I292">
        <v>5.66</v>
      </c>
      <c r="J292">
        <f t="shared" si="4"/>
        <v>15.01</v>
      </c>
      <c r="K292">
        <v>2014</v>
      </c>
      <c r="L292">
        <v>2020</v>
      </c>
    </row>
    <row r="293" spans="1:12" x14ac:dyDescent="0.5">
      <c r="A293" t="s">
        <v>64</v>
      </c>
      <c r="B293" t="s">
        <v>56</v>
      </c>
      <c r="C293" t="s">
        <v>62</v>
      </c>
      <c r="D293">
        <v>1.2</v>
      </c>
      <c r="E293" t="s">
        <v>121</v>
      </c>
      <c r="F293">
        <v>48.6</v>
      </c>
      <c r="G293">
        <v>36</v>
      </c>
      <c r="H293">
        <v>5.85</v>
      </c>
      <c r="I293">
        <v>2.83</v>
      </c>
      <c r="J293">
        <f t="shared" si="4"/>
        <v>8.68</v>
      </c>
      <c r="K293">
        <v>2014</v>
      </c>
      <c r="L293">
        <v>2020</v>
      </c>
    </row>
    <row r="294" spans="1:12" x14ac:dyDescent="0.5">
      <c r="A294" t="s">
        <v>64</v>
      </c>
      <c r="B294" t="s">
        <v>56</v>
      </c>
      <c r="C294" t="s">
        <v>62</v>
      </c>
      <c r="D294">
        <v>1.3</v>
      </c>
      <c r="E294" t="s">
        <v>120</v>
      </c>
      <c r="F294">
        <v>97.2</v>
      </c>
      <c r="G294">
        <v>540</v>
      </c>
      <c r="H294">
        <v>11.69</v>
      </c>
      <c r="I294">
        <v>6.13</v>
      </c>
      <c r="J294">
        <f t="shared" si="4"/>
        <v>17.82</v>
      </c>
      <c r="K294">
        <v>2014</v>
      </c>
      <c r="L294">
        <v>2020</v>
      </c>
    </row>
    <row r="295" spans="1:12" x14ac:dyDescent="0.5">
      <c r="A295" t="s">
        <v>64</v>
      </c>
      <c r="B295" t="s">
        <v>56</v>
      </c>
      <c r="C295" t="s">
        <v>62</v>
      </c>
      <c r="D295">
        <v>1.4</v>
      </c>
      <c r="E295" t="s">
        <v>119</v>
      </c>
      <c r="F295">
        <v>81</v>
      </c>
      <c r="G295">
        <v>12</v>
      </c>
      <c r="H295">
        <v>8.18</v>
      </c>
      <c r="I295">
        <v>4.24</v>
      </c>
      <c r="J295">
        <f t="shared" si="4"/>
        <v>12.42</v>
      </c>
      <c r="K295">
        <v>2014</v>
      </c>
      <c r="L295">
        <v>2020</v>
      </c>
    </row>
    <row r="296" spans="1:12" x14ac:dyDescent="0.5">
      <c r="A296" t="s">
        <v>64</v>
      </c>
      <c r="B296" t="s">
        <v>56</v>
      </c>
      <c r="C296" t="s">
        <v>62</v>
      </c>
      <c r="D296">
        <v>1.5</v>
      </c>
      <c r="E296" t="s">
        <v>118</v>
      </c>
      <c r="F296">
        <v>64.8</v>
      </c>
      <c r="G296">
        <v>60</v>
      </c>
      <c r="H296">
        <v>10.52</v>
      </c>
      <c r="I296">
        <v>3.77</v>
      </c>
      <c r="J296">
        <f t="shared" si="4"/>
        <v>14.29</v>
      </c>
      <c r="K296">
        <v>2014</v>
      </c>
      <c r="L296">
        <v>2020</v>
      </c>
    </row>
    <row r="297" spans="1:12" x14ac:dyDescent="0.5">
      <c r="A297" t="s">
        <v>64</v>
      </c>
      <c r="B297" t="s">
        <v>56</v>
      </c>
      <c r="C297" t="s">
        <v>62</v>
      </c>
      <c r="D297">
        <v>1.6</v>
      </c>
      <c r="E297" t="s">
        <v>117</v>
      </c>
      <c r="F297">
        <v>32.4</v>
      </c>
      <c r="G297">
        <v>72</v>
      </c>
      <c r="H297">
        <v>9.35</v>
      </c>
      <c r="I297">
        <v>3.3</v>
      </c>
      <c r="J297">
        <f t="shared" si="4"/>
        <v>12.649999999999999</v>
      </c>
      <c r="K297">
        <v>2014</v>
      </c>
      <c r="L297">
        <v>2020</v>
      </c>
    </row>
    <row r="298" spans="1:12" x14ac:dyDescent="0.5">
      <c r="A298" t="s">
        <v>64</v>
      </c>
      <c r="B298" t="s">
        <v>56</v>
      </c>
      <c r="C298" t="s">
        <v>62</v>
      </c>
      <c r="D298">
        <v>1.7</v>
      </c>
      <c r="E298" t="s">
        <v>116</v>
      </c>
      <c r="F298">
        <v>56.7</v>
      </c>
      <c r="G298">
        <v>180</v>
      </c>
      <c r="H298">
        <v>10.52</v>
      </c>
      <c r="I298">
        <v>4.72</v>
      </c>
      <c r="J298">
        <f t="shared" si="4"/>
        <v>15.239999999999998</v>
      </c>
      <c r="K298">
        <v>2014</v>
      </c>
      <c r="L298">
        <v>2020</v>
      </c>
    </row>
    <row r="299" spans="1:12" x14ac:dyDescent="0.5">
      <c r="A299" t="s">
        <v>64</v>
      </c>
      <c r="B299" t="s">
        <v>56</v>
      </c>
      <c r="C299" t="s">
        <v>62</v>
      </c>
      <c r="D299">
        <v>1.8</v>
      </c>
      <c r="E299" t="s">
        <v>115</v>
      </c>
      <c r="F299">
        <v>162</v>
      </c>
      <c r="G299">
        <v>216</v>
      </c>
      <c r="H299">
        <v>29.83</v>
      </c>
      <c r="I299">
        <v>9.85</v>
      </c>
      <c r="J299">
        <f t="shared" si="4"/>
        <v>39.68</v>
      </c>
      <c r="K299">
        <v>2014</v>
      </c>
      <c r="L299">
        <v>2020</v>
      </c>
    </row>
    <row r="300" spans="1:12" x14ac:dyDescent="0.5">
      <c r="A300" t="s">
        <v>64</v>
      </c>
      <c r="B300" t="s">
        <v>56</v>
      </c>
      <c r="C300" t="s">
        <v>62</v>
      </c>
      <c r="D300">
        <v>1.9</v>
      </c>
      <c r="E300" t="s">
        <v>114</v>
      </c>
      <c r="F300">
        <v>0</v>
      </c>
      <c r="G300">
        <v>0</v>
      </c>
      <c r="H300">
        <v>14.59</v>
      </c>
      <c r="I300">
        <v>2.94</v>
      </c>
      <c r="J300">
        <f t="shared" si="4"/>
        <v>17.53</v>
      </c>
      <c r="K300">
        <v>2014</v>
      </c>
      <c r="L300">
        <v>2020</v>
      </c>
    </row>
    <row r="301" spans="1:12" x14ac:dyDescent="0.5">
      <c r="A301" t="s">
        <v>64</v>
      </c>
      <c r="B301" t="s">
        <v>56</v>
      </c>
      <c r="C301" t="s">
        <v>62</v>
      </c>
      <c r="D301">
        <v>1.1000000000000001</v>
      </c>
      <c r="E301" t="s">
        <v>113</v>
      </c>
      <c r="F301">
        <v>0</v>
      </c>
      <c r="G301">
        <v>0</v>
      </c>
      <c r="H301">
        <v>11.7</v>
      </c>
      <c r="I301">
        <v>5.19</v>
      </c>
      <c r="J301">
        <f t="shared" si="4"/>
        <v>16.89</v>
      </c>
      <c r="K301">
        <v>2014</v>
      </c>
      <c r="L301">
        <v>2020</v>
      </c>
    </row>
    <row r="302" spans="1:12" x14ac:dyDescent="0.5">
      <c r="A302" t="s">
        <v>65</v>
      </c>
      <c r="B302" t="s">
        <v>56</v>
      </c>
      <c r="C302" t="s">
        <v>62</v>
      </c>
      <c r="D302">
        <v>1.1000000000000001</v>
      </c>
      <c r="E302" t="s">
        <v>122</v>
      </c>
      <c r="F302">
        <v>163.80000000000001</v>
      </c>
      <c r="G302">
        <v>0</v>
      </c>
      <c r="H302">
        <v>9.77</v>
      </c>
      <c r="I302">
        <v>5.92</v>
      </c>
      <c r="J302">
        <f t="shared" si="4"/>
        <v>15.69</v>
      </c>
      <c r="K302">
        <v>2017</v>
      </c>
      <c r="L302">
        <v>2023</v>
      </c>
    </row>
    <row r="303" spans="1:12" x14ac:dyDescent="0.5">
      <c r="A303" t="s">
        <v>65</v>
      </c>
      <c r="B303" t="s">
        <v>56</v>
      </c>
      <c r="C303" t="s">
        <v>62</v>
      </c>
      <c r="D303">
        <v>1.2</v>
      </c>
      <c r="E303" t="s">
        <v>121</v>
      </c>
      <c r="F303">
        <v>54.6</v>
      </c>
      <c r="G303">
        <v>40.5</v>
      </c>
      <c r="H303">
        <v>6.11</v>
      </c>
      <c r="I303">
        <v>2.96</v>
      </c>
      <c r="J303">
        <f t="shared" si="4"/>
        <v>9.07</v>
      </c>
      <c r="K303">
        <v>2017</v>
      </c>
      <c r="L303">
        <v>2023</v>
      </c>
    </row>
    <row r="304" spans="1:12" x14ac:dyDescent="0.5">
      <c r="A304" t="s">
        <v>65</v>
      </c>
      <c r="B304" t="s">
        <v>56</v>
      </c>
      <c r="C304" t="s">
        <v>62</v>
      </c>
      <c r="D304">
        <v>1.3</v>
      </c>
      <c r="E304" t="s">
        <v>120</v>
      </c>
      <c r="F304">
        <v>109.2</v>
      </c>
      <c r="G304">
        <v>607.5</v>
      </c>
      <c r="H304">
        <v>12.21</v>
      </c>
      <c r="I304">
        <v>6.41</v>
      </c>
      <c r="J304">
        <f t="shared" si="4"/>
        <v>18.62</v>
      </c>
      <c r="K304">
        <v>2017</v>
      </c>
      <c r="L304">
        <v>2023</v>
      </c>
    </row>
    <row r="305" spans="1:12" x14ac:dyDescent="0.5">
      <c r="A305" t="s">
        <v>65</v>
      </c>
      <c r="B305" t="s">
        <v>56</v>
      </c>
      <c r="C305" t="s">
        <v>62</v>
      </c>
      <c r="D305">
        <v>1.4</v>
      </c>
      <c r="E305" t="s">
        <v>119</v>
      </c>
      <c r="F305">
        <v>91</v>
      </c>
      <c r="G305">
        <v>13.5</v>
      </c>
      <c r="H305">
        <v>8.5500000000000007</v>
      </c>
      <c r="I305">
        <v>4.4400000000000004</v>
      </c>
      <c r="J305">
        <f t="shared" si="4"/>
        <v>12.990000000000002</v>
      </c>
      <c r="K305">
        <v>2017</v>
      </c>
      <c r="L305">
        <v>2023</v>
      </c>
    </row>
    <row r="306" spans="1:12" x14ac:dyDescent="0.5">
      <c r="A306" t="s">
        <v>65</v>
      </c>
      <c r="B306" t="s">
        <v>56</v>
      </c>
      <c r="C306" t="s">
        <v>62</v>
      </c>
      <c r="D306">
        <v>1.5</v>
      </c>
      <c r="E306" t="s">
        <v>118</v>
      </c>
      <c r="F306">
        <v>72.8</v>
      </c>
      <c r="G306">
        <v>67.5</v>
      </c>
      <c r="H306">
        <v>10.99</v>
      </c>
      <c r="I306">
        <v>3.95</v>
      </c>
      <c r="J306">
        <f t="shared" si="4"/>
        <v>14.940000000000001</v>
      </c>
      <c r="K306">
        <v>2017</v>
      </c>
      <c r="L306">
        <v>2023</v>
      </c>
    </row>
    <row r="307" spans="1:12" x14ac:dyDescent="0.5">
      <c r="A307" t="s">
        <v>65</v>
      </c>
      <c r="B307" t="s">
        <v>56</v>
      </c>
      <c r="C307" t="s">
        <v>62</v>
      </c>
      <c r="D307">
        <v>1.6</v>
      </c>
      <c r="E307" t="s">
        <v>117</v>
      </c>
      <c r="F307">
        <v>36.4</v>
      </c>
      <c r="G307">
        <v>81</v>
      </c>
      <c r="H307">
        <v>9.77</v>
      </c>
      <c r="I307">
        <v>3.45</v>
      </c>
      <c r="J307">
        <f t="shared" si="4"/>
        <v>13.219999999999999</v>
      </c>
      <c r="K307">
        <v>2017</v>
      </c>
      <c r="L307">
        <v>2023</v>
      </c>
    </row>
    <row r="308" spans="1:12" x14ac:dyDescent="0.5">
      <c r="A308" t="s">
        <v>65</v>
      </c>
      <c r="B308" t="s">
        <v>56</v>
      </c>
      <c r="C308" t="s">
        <v>62</v>
      </c>
      <c r="D308">
        <v>1.7</v>
      </c>
      <c r="E308" t="s">
        <v>116</v>
      </c>
      <c r="F308">
        <v>63.7</v>
      </c>
      <c r="G308">
        <v>202.5</v>
      </c>
      <c r="H308">
        <v>10.99</v>
      </c>
      <c r="I308">
        <v>4.93</v>
      </c>
      <c r="J308">
        <f t="shared" si="4"/>
        <v>15.92</v>
      </c>
      <c r="K308">
        <v>2017</v>
      </c>
      <c r="L308">
        <v>2023</v>
      </c>
    </row>
    <row r="309" spans="1:12" x14ac:dyDescent="0.5">
      <c r="A309" t="s">
        <v>65</v>
      </c>
      <c r="B309" t="s">
        <v>56</v>
      </c>
      <c r="C309" t="s">
        <v>62</v>
      </c>
      <c r="D309">
        <v>1.8</v>
      </c>
      <c r="E309" t="s">
        <v>115</v>
      </c>
      <c r="F309">
        <v>182</v>
      </c>
      <c r="G309">
        <v>243</v>
      </c>
      <c r="H309">
        <v>31.17</v>
      </c>
      <c r="I309">
        <v>10.3</v>
      </c>
      <c r="J309">
        <f t="shared" si="4"/>
        <v>41.47</v>
      </c>
      <c r="K309">
        <v>2017</v>
      </c>
      <c r="L309">
        <v>2023</v>
      </c>
    </row>
    <row r="310" spans="1:12" x14ac:dyDescent="0.5">
      <c r="A310" t="s">
        <v>65</v>
      </c>
      <c r="B310" t="s">
        <v>56</v>
      </c>
      <c r="C310" t="s">
        <v>62</v>
      </c>
      <c r="D310">
        <v>1.9</v>
      </c>
      <c r="E310" t="s">
        <v>114</v>
      </c>
      <c r="F310">
        <v>0</v>
      </c>
      <c r="G310">
        <v>0</v>
      </c>
      <c r="H310">
        <v>15.48</v>
      </c>
      <c r="I310">
        <v>3.13</v>
      </c>
      <c r="J310">
        <f t="shared" si="4"/>
        <v>18.61</v>
      </c>
      <c r="K310">
        <v>2017</v>
      </c>
      <c r="L310">
        <v>2023</v>
      </c>
    </row>
    <row r="311" spans="1:12" x14ac:dyDescent="0.5">
      <c r="A311" t="s">
        <v>65</v>
      </c>
      <c r="B311" t="s">
        <v>56</v>
      </c>
      <c r="C311" t="s">
        <v>62</v>
      </c>
      <c r="D311">
        <v>1.1000000000000001</v>
      </c>
      <c r="E311" t="s">
        <v>113</v>
      </c>
      <c r="F311">
        <v>0</v>
      </c>
      <c r="G311">
        <v>0</v>
      </c>
      <c r="H311">
        <v>12.23</v>
      </c>
      <c r="I311">
        <v>5.42</v>
      </c>
      <c r="J311">
        <f t="shared" si="4"/>
        <v>17.649999999999999</v>
      </c>
      <c r="K311">
        <v>2017</v>
      </c>
      <c r="L311">
        <v>2023</v>
      </c>
    </row>
    <row r="312" spans="1:12" x14ac:dyDescent="0.5">
      <c r="A312" t="s">
        <v>66</v>
      </c>
      <c r="B312" t="s">
        <v>67</v>
      </c>
      <c r="C312" t="s">
        <v>33</v>
      </c>
      <c r="D312">
        <v>1.1000000000000001</v>
      </c>
      <c r="E312" t="s">
        <v>122</v>
      </c>
      <c r="F312">
        <v>198</v>
      </c>
      <c r="G312">
        <v>0</v>
      </c>
      <c r="H312">
        <v>9.41</v>
      </c>
      <c r="I312">
        <v>5.7</v>
      </c>
      <c r="J312">
        <f t="shared" si="4"/>
        <v>15.11</v>
      </c>
      <c r="K312">
        <v>1997</v>
      </c>
      <c r="L312">
        <v>2003</v>
      </c>
    </row>
    <row r="313" spans="1:12" x14ac:dyDescent="0.5">
      <c r="A313" t="s">
        <v>66</v>
      </c>
      <c r="B313" t="s">
        <v>67</v>
      </c>
      <c r="C313" t="s">
        <v>33</v>
      </c>
      <c r="D313">
        <v>1.2</v>
      </c>
      <c r="E313" t="s">
        <v>121</v>
      </c>
      <c r="F313">
        <v>66</v>
      </c>
      <c r="G313">
        <v>66</v>
      </c>
      <c r="H313">
        <v>5.88</v>
      </c>
      <c r="I313">
        <v>2.85</v>
      </c>
      <c r="J313">
        <f t="shared" si="4"/>
        <v>8.73</v>
      </c>
      <c r="K313">
        <v>1997</v>
      </c>
      <c r="L313">
        <v>2003</v>
      </c>
    </row>
    <row r="314" spans="1:12" x14ac:dyDescent="0.5">
      <c r="A314" t="s">
        <v>66</v>
      </c>
      <c r="B314" t="s">
        <v>67</v>
      </c>
      <c r="C314" t="s">
        <v>33</v>
      </c>
      <c r="D314">
        <v>1.3</v>
      </c>
      <c r="E314" t="s">
        <v>120</v>
      </c>
      <c r="F314">
        <v>132</v>
      </c>
      <c r="G314">
        <v>990</v>
      </c>
      <c r="H314">
        <v>11.76</v>
      </c>
      <c r="I314">
        <v>6.17</v>
      </c>
      <c r="J314">
        <f t="shared" si="4"/>
        <v>17.93</v>
      </c>
      <c r="K314">
        <v>1997</v>
      </c>
      <c r="L314">
        <v>2003</v>
      </c>
    </row>
    <row r="315" spans="1:12" x14ac:dyDescent="0.5">
      <c r="A315" t="s">
        <v>66</v>
      </c>
      <c r="B315" t="s">
        <v>67</v>
      </c>
      <c r="C315" t="s">
        <v>33</v>
      </c>
      <c r="D315">
        <v>1.4</v>
      </c>
      <c r="E315" t="s">
        <v>119</v>
      </c>
      <c r="F315">
        <v>110</v>
      </c>
      <c r="G315">
        <v>22</v>
      </c>
      <c r="H315">
        <v>8.23</v>
      </c>
      <c r="I315">
        <v>4.2699999999999996</v>
      </c>
      <c r="J315">
        <f t="shared" si="4"/>
        <v>12.5</v>
      </c>
      <c r="K315">
        <v>1997</v>
      </c>
      <c r="L315">
        <v>2003</v>
      </c>
    </row>
    <row r="316" spans="1:12" x14ac:dyDescent="0.5">
      <c r="A316" t="s">
        <v>66</v>
      </c>
      <c r="B316" t="s">
        <v>67</v>
      </c>
      <c r="C316" t="s">
        <v>33</v>
      </c>
      <c r="D316">
        <v>1.5</v>
      </c>
      <c r="E316" t="s">
        <v>118</v>
      </c>
      <c r="F316">
        <v>88</v>
      </c>
      <c r="G316">
        <v>110</v>
      </c>
      <c r="H316">
        <v>10.58</v>
      </c>
      <c r="I316">
        <v>3.8</v>
      </c>
      <c r="J316">
        <f t="shared" si="4"/>
        <v>14.379999999999999</v>
      </c>
      <c r="K316">
        <v>1997</v>
      </c>
      <c r="L316">
        <v>2003</v>
      </c>
    </row>
    <row r="317" spans="1:12" x14ac:dyDescent="0.5">
      <c r="A317" t="s">
        <v>66</v>
      </c>
      <c r="B317" t="s">
        <v>67</v>
      </c>
      <c r="C317" t="s">
        <v>33</v>
      </c>
      <c r="D317">
        <v>1.6</v>
      </c>
      <c r="E317" t="s">
        <v>117</v>
      </c>
      <c r="F317">
        <v>44</v>
      </c>
      <c r="G317">
        <v>132</v>
      </c>
      <c r="H317">
        <v>9.41</v>
      </c>
      <c r="I317">
        <v>3.32</v>
      </c>
      <c r="J317">
        <f t="shared" si="4"/>
        <v>12.73</v>
      </c>
      <c r="K317">
        <v>1997</v>
      </c>
      <c r="L317">
        <v>2003</v>
      </c>
    </row>
    <row r="318" spans="1:12" x14ac:dyDescent="0.5">
      <c r="A318" t="s">
        <v>66</v>
      </c>
      <c r="B318" t="s">
        <v>67</v>
      </c>
      <c r="C318" t="s">
        <v>33</v>
      </c>
      <c r="D318">
        <v>1.7</v>
      </c>
      <c r="E318" t="s">
        <v>116</v>
      </c>
      <c r="F318">
        <v>77</v>
      </c>
      <c r="G318">
        <v>330</v>
      </c>
      <c r="H318">
        <v>10.58</v>
      </c>
      <c r="I318">
        <v>4.75</v>
      </c>
      <c r="J318">
        <f t="shared" si="4"/>
        <v>15.33</v>
      </c>
      <c r="K318">
        <v>1997</v>
      </c>
      <c r="L318">
        <v>2003</v>
      </c>
    </row>
    <row r="319" spans="1:12" x14ac:dyDescent="0.5">
      <c r="A319" t="s">
        <v>66</v>
      </c>
      <c r="B319" t="s">
        <v>67</v>
      </c>
      <c r="C319" t="s">
        <v>33</v>
      </c>
      <c r="D319">
        <v>1.8</v>
      </c>
      <c r="E319" t="s">
        <v>115</v>
      </c>
      <c r="F319">
        <v>220</v>
      </c>
      <c r="G319">
        <v>396</v>
      </c>
      <c r="H319">
        <v>27.94</v>
      </c>
      <c r="I319">
        <v>9.23</v>
      </c>
      <c r="J319">
        <f t="shared" si="4"/>
        <v>37.17</v>
      </c>
      <c r="K319">
        <v>1997</v>
      </c>
      <c r="L319">
        <v>2003</v>
      </c>
    </row>
    <row r="320" spans="1:12" x14ac:dyDescent="0.5">
      <c r="A320" t="s">
        <v>66</v>
      </c>
      <c r="B320" t="s">
        <v>67</v>
      </c>
      <c r="C320" t="s">
        <v>33</v>
      </c>
      <c r="D320">
        <v>1.9</v>
      </c>
      <c r="E320" t="s">
        <v>114</v>
      </c>
      <c r="F320">
        <v>0</v>
      </c>
      <c r="G320">
        <v>0</v>
      </c>
      <c r="H320">
        <v>15.69</v>
      </c>
      <c r="I320">
        <v>3.17</v>
      </c>
      <c r="J320">
        <f t="shared" si="4"/>
        <v>18.86</v>
      </c>
      <c r="K320">
        <v>1997</v>
      </c>
      <c r="L320">
        <v>2003</v>
      </c>
    </row>
    <row r="321" spans="1:12" x14ac:dyDescent="0.5">
      <c r="A321" t="s">
        <v>66</v>
      </c>
      <c r="B321" t="s">
        <v>67</v>
      </c>
      <c r="C321" t="s">
        <v>33</v>
      </c>
      <c r="D321">
        <v>1.1000000000000001</v>
      </c>
      <c r="E321" t="s">
        <v>113</v>
      </c>
      <c r="F321">
        <v>0</v>
      </c>
      <c r="G321">
        <v>0</v>
      </c>
      <c r="H321">
        <v>11.75</v>
      </c>
      <c r="I321">
        <v>5.23</v>
      </c>
      <c r="J321">
        <f t="shared" si="4"/>
        <v>16.98</v>
      </c>
      <c r="K321">
        <v>1997</v>
      </c>
      <c r="L321">
        <v>2003</v>
      </c>
    </row>
    <row r="322" spans="1:12" x14ac:dyDescent="0.5">
      <c r="A322" t="s">
        <v>68</v>
      </c>
      <c r="B322" t="s">
        <v>67</v>
      </c>
      <c r="C322" t="s">
        <v>33</v>
      </c>
      <c r="D322">
        <v>1.1000000000000001</v>
      </c>
      <c r="E322" t="s">
        <v>122</v>
      </c>
      <c r="F322">
        <v>225</v>
      </c>
      <c r="G322">
        <v>0</v>
      </c>
      <c r="H322">
        <v>10.38</v>
      </c>
      <c r="I322">
        <v>6.3</v>
      </c>
      <c r="J322">
        <f t="shared" si="4"/>
        <v>16.68</v>
      </c>
      <c r="K322">
        <v>2000</v>
      </c>
      <c r="L322">
        <v>2007</v>
      </c>
    </row>
    <row r="323" spans="1:12" x14ac:dyDescent="0.5">
      <c r="A323" t="s">
        <v>68</v>
      </c>
      <c r="B323" t="s">
        <v>67</v>
      </c>
      <c r="C323" t="s">
        <v>33</v>
      </c>
      <c r="D323">
        <v>1.2</v>
      </c>
      <c r="E323" t="s">
        <v>121</v>
      </c>
      <c r="F323">
        <v>75</v>
      </c>
      <c r="G323">
        <v>75</v>
      </c>
      <c r="H323">
        <v>6.49</v>
      </c>
      <c r="I323">
        <v>3.15</v>
      </c>
      <c r="J323">
        <f t="shared" ref="J323:J386" si="5">SUM(H323:I323)</f>
        <v>9.64</v>
      </c>
      <c r="K323">
        <v>2000</v>
      </c>
      <c r="L323">
        <v>2007</v>
      </c>
    </row>
    <row r="324" spans="1:12" x14ac:dyDescent="0.5">
      <c r="A324" t="s">
        <v>68</v>
      </c>
      <c r="B324" t="s">
        <v>67</v>
      </c>
      <c r="C324" t="s">
        <v>33</v>
      </c>
      <c r="D324">
        <v>1.3</v>
      </c>
      <c r="E324" t="s">
        <v>120</v>
      </c>
      <c r="F324">
        <v>150</v>
      </c>
      <c r="G324">
        <v>1125</v>
      </c>
      <c r="H324">
        <v>12.97</v>
      </c>
      <c r="I324">
        <v>6.83</v>
      </c>
      <c r="J324">
        <f t="shared" si="5"/>
        <v>19.8</v>
      </c>
      <c r="K324">
        <v>2000</v>
      </c>
      <c r="L324">
        <v>2007</v>
      </c>
    </row>
    <row r="325" spans="1:12" x14ac:dyDescent="0.5">
      <c r="A325" t="s">
        <v>68</v>
      </c>
      <c r="B325" t="s">
        <v>67</v>
      </c>
      <c r="C325" t="s">
        <v>33</v>
      </c>
      <c r="D325">
        <v>1.4</v>
      </c>
      <c r="E325" t="s">
        <v>119</v>
      </c>
      <c r="F325">
        <v>125</v>
      </c>
      <c r="G325">
        <v>25</v>
      </c>
      <c r="H325">
        <v>9.08</v>
      </c>
      <c r="I325">
        <v>4.7300000000000004</v>
      </c>
      <c r="J325">
        <f t="shared" si="5"/>
        <v>13.81</v>
      </c>
      <c r="K325">
        <v>2000</v>
      </c>
      <c r="L325">
        <v>2007</v>
      </c>
    </row>
    <row r="326" spans="1:12" x14ac:dyDescent="0.5">
      <c r="A326" t="s">
        <v>68</v>
      </c>
      <c r="B326" t="s">
        <v>67</v>
      </c>
      <c r="C326" t="s">
        <v>33</v>
      </c>
      <c r="D326">
        <v>1.5</v>
      </c>
      <c r="E326" t="s">
        <v>118</v>
      </c>
      <c r="F326">
        <v>100</v>
      </c>
      <c r="G326">
        <v>125</v>
      </c>
      <c r="H326">
        <v>11.68</v>
      </c>
      <c r="I326">
        <v>4.2</v>
      </c>
      <c r="J326">
        <f t="shared" si="5"/>
        <v>15.879999999999999</v>
      </c>
      <c r="K326">
        <v>2000</v>
      </c>
      <c r="L326">
        <v>2007</v>
      </c>
    </row>
    <row r="327" spans="1:12" x14ac:dyDescent="0.5">
      <c r="A327" t="s">
        <v>68</v>
      </c>
      <c r="B327" t="s">
        <v>67</v>
      </c>
      <c r="C327" t="s">
        <v>33</v>
      </c>
      <c r="D327">
        <v>1.6</v>
      </c>
      <c r="E327" t="s">
        <v>117</v>
      </c>
      <c r="F327">
        <v>50</v>
      </c>
      <c r="G327">
        <v>150</v>
      </c>
      <c r="H327">
        <v>10.38</v>
      </c>
      <c r="I327">
        <v>3.68</v>
      </c>
      <c r="J327">
        <f t="shared" si="5"/>
        <v>14.06</v>
      </c>
      <c r="K327">
        <v>2000</v>
      </c>
      <c r="L327">
        <v>2007</v>
      </c>
    </row>
    <row r="328" spans="1:12" x14ac:dyDescent="0.5">
      <c r="A328" t="s">
        <v>68</v>
      </c>
      <c r="B328" t="s">
        <v>67</v>
      </c>
      <c r="C328" t="s">
        <v>33</v>
      </c>
      <c r="D328">
        <v>1.7</v>
      </c>
      <c r="E328" t="s">
        <v>116</v>
      </c>
      <c r="F328">
        <v>87.5</v>
      </c>
      <c r="G328">
        <v>375</v>
      </c>
      <c r="H328">
        <v>11.68</v>
      </c>
      <c r="I328">
        <v>5.25</v>
      </c>
      <c r="J328">
        <f t="shared" si="5"/>
        <v>16.93</v>
      </c>
      <c r="K328">
        <v>2000</v>
      </c>
      <c r="L328">
        <v>2007</v>
      </c>
    </row>
    <row r="329" spans="1:12" x14ac:dyDescent="0.5">
      <c r="A329" t="s">
        <v>68</v>
      </c>
      <c r="B329" t="s">
        <v>67</v>
      </c>
      <c r="C329" t="s">
        <v>33</v>
      </c>
      <c r="D329">
        <v>1.8</v>
      </c>
      <c r="E329" t="s">
        <v>115</v>
      </c>
      <c r="F329">
        <v>250</v>
      </c>
      <c r="G329">
        <v>450</v>
      </c>
      <c r="H329">
        <v>31.97</v>
      </c>
      <c r="I329">
        <v>10.59</v>
      </c>
      <c r="J329">
        <f t="shared" si="5"/>
        <v>42.56</v>
      </c>
      <c r="K329">
        <v>2000</v>
      </c>
      <c r="L329">
        <v>2007</v>
      </c>
    </row>
    <row r="330" spans="1:12" x14ac:dyDescent="0.5">
      <c r="A330" t="s">
        <v>68</v>
      </c>
      <c r="B330" t="s">
        <v>67</v>
      </c>
      <c r="C330" t="s">
        <v>33</v>
      </c>
      <c r="D330">
        <v>1.9</v>
      </c>
      <c r="E330" t="s">
        <v>114</v>
      </c>
      <c r="F330">
        <v>0</v>
      </c>
      <c r="G330">
        <v>0</v>
      </c>
      <c r="H330">
        <v>17.559999999999999</v>
      </c>
      <c r="I330">
        <v>3.55</v>
      </c>
      <c r="J330">
        <f t="shared" si="5"/>
        <v>21.11</v>
      </c>
      <c r="K330">
        <v>2000</v>
      </c>
      <c r="L330">
        <v>2007</v>
      </c>
    </row>
    <row r="331" spans="1:12" x14ac:dyDescent="0.5">
      <c r="A331" t="s">
        <v>68</v>
      </c>
      <c r="B331" t="s">
        <v>67</v>
      </c>
      <c r="C331" t="s">
        <v>33</v>
      </c>
      <c r="D331">
        <v>1.1000000000000001</v>
      </c>
      <c r="E331" t="s">
        <v>113</v>
      </c>
      <c r="F331">
        <v>0</v>
      </c>
      <c r="G331">
        <v>0</v>
      </c>
      <c r="H331">
        <v>12.96</v>
      </c>
      <c r="I331">
        <v>5.78</v>
      </c>
      <c r="J331">
        <f t="shared" si="5"/>
        <v>18.740000000000002</v>
      </c>
      <c r="K331">
        <v>2000</v>
      </c>
      <c r="L331">
        <v>2007</v>
      </c>
    </row>
    <row r="332" spans="1:12" x14ac:dyDescent="0.5">
      <c r="A332" t="s">
        <v>69</v>
      </c>
      <c r="B332" t="s">
        <v>67</v>
      </c>
      <c r="C332" t="s">
        <v>33</v>
      </c>
      <c r="D332">
        <v>1.1000000000000001</v>
      </c>
      <c r="E332" t="s">
        <v>122</v>
      </c>
      <c r="F332">
        <v>255.6</v>
      </c>
      <c r="G332">
        <v>0</v>
      </c>
      <c r="H332">
        <v>12.01</v>
      </c>
      <c r="I332">
        <v>7.31</v>
      </c>
      <c r="J332">
        <f t="shared" si="5"/>
        <v>19.32</v>
      </c>
      <c r="K332">
        <v>2003</v>
      </c>
      <c r="L332">
        <v>2010</v>
      </c>
    </row>
    <row r="333" spans="1:12" x14ac:dyDescent="0.5">
      <c r="A333" t="s">
        <v>69</v>
      </c>
      <c r="B333" t="s">
        <v>67</v>
      </c>
      <c r="C333" t="s">
        <v>33</v>
      </c>
      <c r="D333">
        <v>1.2</v>
      </c>
      <c r="E333" t="s">
        <v>121</v>
      </c>
      <c r="F333">
        <v>85.2</v>
      </c>
      <c r="G333">
        <v>85.5</v>
      </c>
      <c r="H333">
        <v>7.51</v>
      </c>
      <c r="I333">
        <v>3.65</v>
      </c>
      <c r="J333">
        <f t="shared" si="5"/>
        <v>11.16</v>
      </c>
      <c r="K333">
        <v>2003</v>
      </c>
      <c r="L333">
        <v>2010</v>
      </c>
    </row>
    <row r="334" spans="1:12" x14ac:dyDescent="0.5">
      <c r="A334" t="s">
        <v>69</v>
      </c>
      <c r="B334" t="s">
        <v>67</v>
      </c>
      <c r="C334" t="s">
        <v>33</v>
      </c>
      <c r="D334">
        <v>1.3</v>
      </c>
      <c r="E334" t="s">
        <v>120</v>
      </c>
      <c r="F334">
        <v>170.4</v>
      </c>
      <c r="G334">
        <v>1282.5</v>
      </c>
      <c r="H334">
        <v>15.02</v>
      </c>
      <c r="I334">
        <v>7.91</v>
      </c>
      <c r="J334">
        <f t="shared" si="5"/>
        <v>22.93</v>
      </c>
      <c r="K334">
        <v>2003</v>
      </c>
      <c r="L334">
        <v>2010</v>
      </c>
    </row>
    <row r="335" spans="1:12" x14ac:dyDescent="0.5">
      <c r="A335" t="s">
        <v>69</v>
      </c>
      <c r="B335" t="s">
        <v>67</v>
      </c>
      <c r="C335" t="s">
        <v>33</v>
      </c>
      <c r="D335">
        <v>1.4</v>
      </c>
      <c r="E335" t="s">
        <v>119</v>
      </c>
      <c r="F335">
        <v>142</v>
      </c>
      <c r="G335">
        <v>28.5</v>
      </c>
      <c r="H335">
        <v>10.51</v>
      </c>
      <c r="I335">
        <v>5.48</v>
      </c>
      <c r="J335">
        <f t="shared" si="5"/>
        <v>15.99</v>
      </c>
      <c r="K335">
        <v>2003</v>
      </c>
      <c r="L335">
        <v>2010</v>
      </c>
    </row>
    <row r="336" spans="1:12" x14ac:dyDescent="0.5">
      <c r="A336" t="s">
        <v>69</v>
      </c>
      <c r="B336" t="s">
        <v>67</v>
      </c>
      <c r="C336" t="s">
        <v>33</v>
      </c>
      <c r="D336">
        <v>1.5</v>
      </c>
      <c r="E336" t="s">
        <v>118</v>
      </c>
      <c r="F336">
        <v>113.6</v>
      </c>
      <c r="G336">
        <v>142.5</v>
      </c>
      <c r="H336">
        <v>13.52</v>
      </c>
      <c r="I336">
        <v>4.87</v>
      </c>
      <c r="J336">
        <f t="shared" si="5"/>
        <v>18.39</v>
      </c>
      <c r="K336">
        <v>2003</v>
      </c>
      <c r="L336">
        <v>2010</v>
      </c>
    </row>
    <row r="337" spans="1:12" x14ac:dyDescent="0.5">
      <c r="A337" t="s">
        <v>69</v>
      </c>
      <c r="B337" t="s">
        <v>67</v>
      </c>
      <c r="C337" t="s">
        <v>33</v>
      </c>
      <c r="D337">
        <v>1.6</v>
      </c>
      <c r="E337" t="s">
        <v>117</v>
      </c>
      <c r="F337">
        <v>56.8</v>
      </c>
      <c r="G337">
        <v>171</v>
      </c>
      <c r="H337">
        <v>12.01</v>
      </c>
      <c r="I337">
        <v>4.26</v>
      </c>
      <c r="J337">
        <f t="shared" si="5"/>
        <v>16.27</v>
      </c>
      <c r="K337">
        <v>2003</v>
      </c>
      <c r="L337">
        <v>2010</v>
      </c>
    </row>
    <row r="338" spans="1:12" x14ac:dyDescent="0.5">
      <c r="A338" t="s">
        <v>69</v>
      </c>
      <c r="B338" t="s">
        <v>67</v>
      </c>
      <c r="C338" t="s">
        <v>33</v>
      </c>
      <c r="D338">
        <v>1.7</v>
      </c>
      <c r="E338" t="s">
        <v>116</v>
      </c>
      <c r="F338">
        <v>99.4</v>
      </c>
      <c r="G338">
        <v>427.5</v>
      </c>
      <c r="H338">
        <v>13.52</v>
      </c>
      <c r="I338">
        <v>6.09</v>
      </c>
      <c r="J338">
        <f t="shared" si="5"/>
        <v>19.61</v>
      </c>
      <c r="K338">
        <v>2003</v>
      </c>
      <c r="L338">
        <v>2010</v>
      </c>
    </row>
    <row r="339" spans="1:12" x14ac:dyDescent="0.5">
      <c r="A339" t="s">
        <v>69</v>
      </c>
      <c r="B339" t="s">
        <v>67</v>
      </c>
      <c r="C339" t="s">
        <v>33</v>
      </c>
      <c r="D339">
        <v>1.8</v>
      </c>
      <c r="E339" t="s">
        <v>115</v>
      </c>
      <c r="F339">
        <v>284</v>
      </c>
      <c r="G339">
        <v>513</v>
      </c>
      <c r="H339">
        <v>37</v>
      </c>
      <c r="I339">
        <v>12.27</v>
      </c>
      <c r="J339">
        <f t="shared" si="5"/>
        <v>49.269999999999996</v>
      </c>
      <c r="K339">
        <v>2003</v>
      </c>
      <c r="L339">
        <v>2010</v>
      </c>
    </row>
    <row r="340" spans="1:12" x14ac:dyDescent="0.5">
      <c r="A340" t="s">
        <v>69</v>
      </c>
      <c r="B340" t="s">
        <v>67</v>
      </c>
      <c r="C340" t="s">
        <v>33</v>
      </c>
      <c r="D340">
        <v>1.9</v>
      </c>
      <c r="E340" t="s">
        <v>114</v>
      </c>
      <c r="F340">
        <v>0</v>
      </c>
      <c r="G340">
        <v>0</v>
      </c>
      <c r="H340">
        <v>20.76</v>
      </c>
      <c r="I340">
        <v>4.21</v>
      </c>
      <c r="J340">
        <f t="shared" si="5"/>
        <v>24.970000000000002</v>
      </c>
      <c r="K340">
        <v>2003</v>
      </c>
      <c r="L340">
        <v>2010</v>
      </c>
    </row>
    <row r="341" spans="1:12" x14ac:dyDescent="0.5">
      <c r="A341" t="s">
        <v>69</v>
      </c>
      <c r="B341" t="s">
        <v>67</v>
      </c>
      <c r="C341" t="s">
        <v>33</v>
      </c>
      <c r="D341">
        <v>1.1000000000000001</v>
      </c>
      <c r="E341" t="s">
        <v>113</v>
      </c>
      <c r="F341">
        <v>0</v>
      </c>
      <c r="G341">
        <v>0</v>
      </c>
      <c r="H341">
        <v>15.02</v>
      </c>
      <c r="I341">
        <v>6.7</v>
      </c>
      <c r="J341">
        <f t="shared" si="5"/>
        <v>21.72</v>
      </c>
      <c r="K341">
        <v>2003</v>
      </c>
      <c r="L341">
        <v>2010</v>
      </c>
    </row>
    <row r="342" spans="1:12" x14ac:dyDescent="0.5">
      <c r="A342" t="s">
        <v>70</v>
      </c>
      <c r="B342" t="s">
        <v>67</v>
      </c>
      <c r="C342" t="s">
        <v>23</v>
      </c>
      <c r="D342">
        <v>1.1000000000000001</v>
      </c>
      <c r="E342" t="s">
        <v>122</v>
      </c>
      <c r="F342">
        <v>504</v>
      </c>
      <c r="G342">
        <v>0</v>
      </c>
      <c r="H342">
        <v>24.33</v>
      </c>
      <c r="I342">
        <v>14.85</v>
      </c>
      <c r="J342">
        <f t="shared" si="5"/>
        <v>39.18</v>
      </c>
      <c r="K342">
        <v>2006</v>
      </c>
      <c r="L342">
        <v>2013</v>
      </c>
    </row>
    <row r="343" spans="1:12" x14ac:dyDescent="0.5">
      <c r="A343" t="s">
        <v>70</v>
      </c>
      <c r="B343" t="s">
        <v>67</v>
      </c>
      <c r="C343" t="s">
        <v>23</v>
      </c>
      <c r="D343">
        <v>1.2</v>
      </c>
      <c r="E343" t="s">
        <v>121</v>
      </c>
      <c r="F343">
        <v>168</v>
      </c>
      <c r="G343">
        <v>186</v>
      </c>
      <c r="H343">
        <v>15.2</v>
      </c>
      <c r="I343">
        <v>7.42</v>
      </c>
      <c r="J343">
        <f t="shared" si="5"/>
        <v>22.619999999999997</v>
      </c>
      <c r="K343">
        <v>2006</v>
      </c>
      <c r="L343">
        <v>2013</v>
      </c>
    </row>
    <row r="344" spans="1:12" x14ac:dyDescent="0.5">
      <c r="A344" t="s">
        <v>70</v>
      </c>
      <c r="B344" t="s">
        <v>67</v>
      </c>
      <c r="C344" t="s">
        <v>23</v>
      </c>
      <c r="D344">
        <v>1.3</v>
      </c>
      <c r="E344" t="s">
        <v>120</v>
      </c>
      <c r="F344">
        <v>336</v>
      </c>
      <c r="G344">
        <v>2790</v>
      </c>
      <c r="H344">
        <v>30.41</v>
      </c>
      <c r="I344">
        <v>16.09</v>
      </c>
      <c r="J344">
        <f t="shared" si="5"/>
        <v>46.5</v>
      </c>
      <c r="K344">
        <v>2006</v>
      </c>
      <c r="L344">
        <v>2013</v>
      </c>
    </row>
    <row r="345" spans="1:12" x14ac:dyDescent="0.5">
      <c r="A345" t="s">
        <v>70</v>
      </c>
      <c r="B345" t="s">
        <v>67</v>
      </c>
      <c r="C345" t="s">
        <v>23</v>
      </c>
      <c r="D345">
        <v>1.4</v>
      </c>
      <c r="E345" t="s">
        <v>119</v>
      </c>
      <c r="F345">
        <v>280</v>
      </c>
      <c r="G345">
        <v>62</v>
      </c>
      <c r="H345">
        <v>21.29</v>
      </c>
      <c r="I345">
        <v>11.14</v>
      </c>
      <c r="J345">
        <f t="shared" si="5"/>
        <v>32.43</v>
      </c>
      <c r="K345">
        <v>2006</v>
      </c>
      <c r="L345">
        <v>2013</v>
      </c>
    </row>
    <row r="346" spans="1:12" x14ac:dyDescent="0.5">
      <c r="A346" t="s">
        <v>70</v>
      </c>
      <c r="B346" t="s">
        <v>67</v>
      </c>
      <c r="C346" t="s">
        <v>23</v>
      </c>
      <c r="D346">
        <v>1.5</v>
      </c>
      <c r="E346" t="s">
        <v>118</v>
      </c>
      <c r="F346">
        <v>224</v>
      </c>
      <c r="G346">
        <v>310</v>
      </c>
      <c r="H346">
        <v>27.37</v>
      </c>
      <c r="I346">
        <v>9.9</v>
      </c>
      <c r="J346">
        <f t="shared" si="5"/>
        <v>37.270000000000003</v>
      </c>
      <c r="K346">
        <v>2006</v>
      </c>
      <c r="L346">
        <v>2013</v>
      </c>
    </row>
    <row r="347" spans="1:12" x14ac:dyDescent="0.5">
      <c r="A347" t="s">
        <v>70</v>
      </c>
      <c r="B347" t="s">
        <v>67</v>
      </c>
      <c r="C347" t="s">
        <v>23</v>
      </c>
      <c r="D347">
        <v>1.6</v>
      </c>
      <c r="E347" t="s">
        <v>117</v>
      </c>
      <c r="F347">
        <v>112</v>
      </c>
      <c r="G347">
        <v>372</v>
      </c>
      <c r="H347">
        <v>24.33</v>
      </c>
      <c r="I347">
        <v>8.66</v>
      </c>
      <c r="J347">
        <f t="shared" si="5"/>
        <v>32.989999999999995</v>
      </c>
      <c r="K347">
        <v>2006</v>
      </c>
      <c r="L347">
        <v>2013</v>
      </c>
    </row>
    <row r="348" spans="1:12" x14ac:dyDescent="0.5">
      <c r="A348" t="s">
        <v>70</v>
      </c>
      <c r="B348" t="s">
        <v>67</v>
      </c>
      <c r="C348" t="s">
        <v>23</v>
      </c>
      <c r="D348">
        <v>1.7</v>
      </c>
      <c r="E348" t="s">
        <v>116</v>
      </c>
      <c r="F348">
        <v>196</v>
      </c>
      <c r="G348">
        <v>930</v>
      </c>
      <c r="H348">
        <v>27.37</v>
      </c>
      <c r="I348">
        <v>12.37</v>
      </c>
      <c r="J348">
        <f t="shared" si="5"/>
        <v>39.74</v>
      </c>
      <c r="K348">
        <v>2006</v>
      </c>
      <c r="L348">
        <v>2013</v>
      </c>
    </row>
    <row r="349" spans="1:12" x14ac:dyDescent="0.5">
      <c r="A349" t="s">
        <v>70</v>
      </c>
      <c r="B349" t="s">
        <v>67</v>
      </c>
      <c r="C349" t="s">
        <v>23</v>
      </c>
      <c r="D349">
        <v>1.8</v>
      </c>
      <c r="E349" t="s">
        <v>115</v>
      </c>
      <c r="F349">
        <v>560</v>
      </c>
      <c r="G349">
        <v>1116</v>
      </c>
      <c r="H349">
        <v>77.599999999999994</v>
      </c>
      <c r="I349">
        <v>25.84</v>
      </c>
      <c r="J349">
        <f t="shared" si="5"/>
        <v>103.44</v>
      </c>
      <c r="K349">
        <v>2006</v>
      </c>
      <c r="L349">
        <v>2013</v>
      </c>
    </row>
    <row r="350" spans="1:12" x14ac:dyDescent="0.5">
      <c r="A350" t="s">
        <v>70</v>
      </c>
      <c r="B350" t="s">
        <v>67</v>
      </c>
      <c r="C350" t="s">
        <v>23</v>
      </c>
      <c r="D350">
        <v>1.9</v>
      </c>
      <c r="E350" t="s">
        <v>114</v>
      </c>
      <c r="F350">
        <v>0</v>
      </c>
      <c r="G350">
        <v>0</v>
      </c>
      <c r="H350">
        <v>43.5</v>
      </c>
      <c r="I350">
        <v>8.85</v>
      </c>
      <c r="J350">
        <f t="shared" si="5"/>
        <v>52.35</v>
      </c>
      <c r="K350">
        <v>2006</v>
      </c>
      <c r="L350">
        <v>2013</v>
      </c>
    </row>
    <row r="351" spans="1:12" x14ac:dyDescent="0.5">
      <c r="A351" t="s">
        <v>70</v>
      </c>
      <c r="B351" t="s">
        <v>67</v>
      </c>
      <c r="C351" t="s">
        <v>23</v>
      </c>
      <c r="D351">
        <v>1.1000000000000001</v>
      </c>
      <c r="E351" t="s">
        <v>113</v>
      </c>
      <c r="F351">
        <v>0</v>
      </c>
      <c r="G351">
        <v>0</v>
      </c>
      <c r="H351">
        <v>30.39</v>
      </c>
      <c r="I351">
        <v>13.6</v>
      </c>
      <c r="J351">
        <f t="shared" si="5"/>
        <v>43.99</v>
      </c>
      <c r="K351">
        <v>2006</v>
      </c>
      <c r="L351">
        <v>2013</v>
      </c>
    </row>
    <row r="352" spans="1:12" x14ac:dyDescent="0.5">
      <c r="A352" t="s">
        <v>71</v>
      </c>
      <c r="B352" t="s">
        <v>67</v>
      </c>
      <c r="C352" t="s">
        <v>23</v>
      </c>
      <c r="D352">
        <v>1.1000000000000001</v>
      </c>
      <c r="E352" t="s">
        <v>122</v>
      </c>
      <c r="F352">
        <v>558</v>
      </c>
      <c r="G352">
        <v>0</v>
      </c>
      <c r="H352">
        <v>26.33</v>
      </c>
      <c r="I352">
        <v>16.12</v>
      </c>
      <c r="J352">
        <f t="shared" si="5"/>
        <v>42.45</v>
      </c>
      <c r="K352">
        <v>2009</v>
      </c>
      <c r="L352">
        <v>2016</v>
      </c>
    </row>
    <row r="353" spans="1:12" x14ac:dyDescent="0.5">
      <c r="A353" t="s">
        <v>71</v>
      </c>
      <c r="B353" t="s">
        <v>67</v>
      </c>
      <c r="C353" t="s">
        <v>23</v>
      </c>
      <c r="D353">
        <v>1.2</v>
      </c>
      <c r="E353" t="s">
        <v>121</v>
      </c>
      <c r="F353">
        <v>186</v>
      </c>
      <c r="G353">
        <v>210</v>
      </c>
      <c r="H353">
        <v>16.45</v>
      </c>
      <c r="I353">
        <v>8.06</v>
      </c>
      <c r="J353">
        <f t="shared" si="5"/>
        <v>24.509999999999998</v>
      </c>
      <c r="K353">
        <v>2009</v>
      </c>
      <c r="L353">
        <v>2016</v>
      </c>
    </row>
    <row r="354" spans="1:12" x14ac:dyDescent="0.5">
      <c r="A354" t="s">
        <v>71</v>
      </c>
      <c r="B354" t="s">
        <v>67</v>
      </c>
      <c r="C354" t="s">
        <v>23</v>
      </c>
      <c r="D354">
        <v>1.3</v>
      </c>
      <c r="E354" t="s">
        <v>120</v>
      </c>
      <c r="F354">
        <v>372</v>
      </c>
      <c r="G354">
        <v>3150</v>
      </c>
      <c r="H354">
        <v>32.909999999999997</v>
      </c>
      <c r="I354">
        <v>17.46</v>
      </c>
      <c r="J354">
        <f t="shared" si="5"/>
        <v>50.37</v>
      </c>
      <c r="K354">
        <v>2009</v>
      </c>
      <c r="L354">
        <v>2016</v>
      </c>
    </row>
    <row r="355" spans="1:12" x14ac:dyDescent="0.5">
      <c r="A355" t="s">
        <v>71</v>
      </c>
      <c r="B355" t="s">
        <v>67</v>
      </c>
      <c r="C355" t="s">
        <v>23</v>
      </c>
      <c r="D355">
        <v>1.4</v>
      </c>
      <c r="E355" t="s">
        <v>119</v>
      </c>
      <c r="F355">
        <v>310</v>
      </c>
      <c r="G355">
        <v>70</v>
      </c>
      <c r="H355">
        <v>23.04</v>
      </c>
      <c r="I355">
        <v>12.09</v>
      </c>
      <c r="J355">
        <f t="shared" si="5"/>
        <v>35.129999999999995</v>
      </c>
      <c r="K355">
        <v>2009</v>
      </c>
      <c r="L355">
        <v>2016</v>
      </c>
    </row>
    <row r="356" spans="1:12" x14ac:dyDescent="0.5">
      <c r="A356" t="s">
        <v>71</v>
      </c>
      <c r="B356" t="s">
        <v>67</v>
      </c>
      <c r="C356" t="s">
        <v>23</v>
      </c>
      <c r="D356">
        <v>1.5</v>
      </c>
      <c r="E356" t="s">
        <v>118</v>
      </c>
      <c r="F356">
        <v>248</v>
      </c>
      <c r="G356">
        <v>350</v>
      </c>
      <c r="H356">
        <v>29.62</v>
      </c>
      <c r="I356">
        <v>10.74</v>
      </c>
      <c r="J356">
        <f t="shared" si="5"/>
        <v>40.36</v>
      </c>
      <c r="K356">
        <v>2009</v>
      </c>
      <c r="L356">
        <v>2016</v>
      </c>
    </row>
    <row r="357" spans="1:12" x14ac:dyDescent="0.5">
      <c r="A357" t="s">
        <v>71</v>
      </c>
      <c r="B357" t="s">
        <v>67</v>
      </c>
      <c r="C357" t="s">
        <v>23</v>
      </c>
      <c r="D357">
        <v>1.6</v>
      </c>
      <c r="E357" t="s">
        <v>117</v>
      </c>
      <c r="F357">
        <v>124</v>
      </c>
      <c r="G357">
        <v>420</v>
      </c>
      <c r="H357">
        <v>26.33</v>
      </c>
      <c r="I357">
        <v>9.4</v>
      </c>
      <c r="J357">
        <f t="shared" si="5"/>
        <v>35.729999999999997</v>
      </c>
      <c r="K357">
        <v>2009</v>
      </c>
      <c r="L357">
        <v>2016</v>
      </c>
    </row>
    <row r="358" spans="1:12" x14ac:dyDescent="0.5">
      <c r="A358" t="s">
        <v>71</v>
      </c>
      <c r="B358" t="s">
        <v>67</v>
      </c>
      <c r="C358" t="s">
        <v>23</v>
      </c>
      <c r="D358">
        <v>1.7</v>
      </c>
      <c r="E358" t="s">
        <v>116</v>
      </c>
      <c r="F358">
        <v>217</v>
      </c>
      <c r="G358">
        <v>1050</v>
      </c>
      <c r="H358">
        <v>29.62</v>
      </c>
      <c r="I358">
        <v>13.43</v>
      </c>
      <c r="J358">
        <f t="shared" si="5"/>
        <v>43.05</v>
      </c>
      <c r="K358">
        <v>2009</v>
      </c>
      <c r="L358">
        <v>2016</v>
      </c>
    </row>
    <row r="359" spans="1:12" x14ac:dyDescent="0.5">
      <c r="A359" t="s">
        <v>71</v>
      </c>
      <c r="B359" t="s">
        <v>67</v>
      </c>
      <c r="C359" t="s">
        <v>23</v>
      </c>
      <c r="D359">
        <v>1.8</v>
      </c>
      <c r="E359" t="s">
        <v>115</v>
      </c>
      <c r="F359">
        <v>620</v>
      </c>
      <c r="G359">
        <v>1260</v>
      </c>
      <c r="H359">
        <v>86.88</v>
      </c>
      <c r="I359">
        <v>29.01</v>
      </c>
      <c r="J359">
        <f t="shared" si="5"/>
        <v>115.89</v>
      </c>
      <c r="K359">
        <v>2009</v>
      </c>
      <c r="L359">
        <v>2016</v>
      </c>
    </row>
    <row r="360" spans="1:12" x14ac:dyDescent="0.5">
      <c r="A360" t="s">
        <v>71</v>
      </c>
      <c r="B360" t="s">
        <v>67</v>
      </c>
      <c r="C360" t="s">
        <v>23</v>
      </c>
      <c r="D360">
        <v>1.9</v>
      </c>
      <c r="E360" t="s">
        <v>114</v>
      </c>
      <c r="F360">
        <v>0</v>
      </c>
      <c r="G360">
        <v>0</v>
      </c>
      <c r="H360">
        <v>48.18</v>
      </c>
      <c r="I360">
        <v>9.83</v>
      </c>
      <c r="J360">
        <f t="shared" si="5"/>
        <v>58.01</v>
      </c>
      <c r="K360">
        <v>2009</v>
      </c>
      <c r="L360">
        <v>2016</v>
      </c>
    </row>
    <row r="361" spans="1:12" x14ac:dyDescent="0.5">
      <c r="A361" t="s">
        <v>71</v>
      </c>
      <c r="B361" t="s">
        <v>67</v>
      </c>
      <c r="C361" t="s">
        <v>23</v>
      </c>
      <c r="D361">
        <v>1.1000000000000001</v>
      </c>
      <c r="E361" t="s">
        <v>113</v>
      </c>
      <c r="F361">
        <v>0</v>
      </c>
      <c r="G361">
        <v>0</v>
      </c>
      <c r="H361">
        <v>32.89</v>
      </c>
      <c r="I361">
        <v>14.76</v>
      </c>
      <c r="J361">
        <f t="shared" si="5"/>
        <v>47.65</v>
      </c>
      <c r="K361">
        <v>2009</v>
      </c>
      <c r="L361">
        <v>2016</v>
      </c>
    </row>
    <row r="362" spans="1:12" x14ac:dyDescent="0.5">
      <c r="A362" t="s">
        <v>72</v>
      </c>
      <c r="B362" t="s">
        <v>67</v>
      </c>
      <c r="C362" t="s">
        <v>23</v>
      </c>
      <c r="D362">
        <v>1.1000000000000001</v>
      </c>
      <c r="E362" t="s">
        <v>122</v>
      </c>
      <c r="F362">
        <v>621</v>
      </c>
      <c r="G362">
        <v>0</v>
      </c>
      <c r="H362">
        <v>30.74</v>
      </c>
      <c r="I362">
        <v>18.850000000000001</v>
      </c>
      <c r="J362">
        <f t="shared" si="5"/>
        <v>49.59</v>
      </c>
      <c r="K362">
        <v>2012</v>
      </c>
      <c r="L362">
        <v>2019</v>
      </c>
    </row>
    <row r="363" spans="1:12" x14ac:dyDescent="0.5">
      <c r="A363" t="s">
        <v>72</v>
      </c>
      <c r="B363" t="s">
        <v>67</v>
      </c>
      <c r="C363" t="s">
        <v>23</v>
      </c>
      <c r="D363">
        <v>1.2</v>
      </c>
      <c r="E363" t="s">
        <v>121</v>
      </c>
      <c r="F363">
        <v>207</v>
      </c>
      <c r="G363">
        <v>234</v>
      </c>
      <c r="H363">
        <v>19.21</v>
      </c>
      <c r="I363">
        <v>9.42</v>
      </c>
      <c r="J363">
        <f t="shared" si="5"/>
        <v>28.630000000000003</v>
      </c>
      <c r="K363">
        <v>2012</v>
      </c>
      <c r="L363">
        <v>2019</v>
      </c>
    </row>
    <row r="364" spans="1:12" x14ac:dyDescent="0.5">
      <c r="A364" t="s">
        <v>72</v>
      </c>
      <c r="B364" t="s">
        <v>67</v>
      </c>
      <c r="C364" t="s">
        <v>23</v>
      </c>
      <c r="D364">
        <v>1.3</v>
      </c>
      <c r="E364" t="s">
        <v>120</v>
      </c>
      <c r="F364">
        <v>414</v>
      </c>
      <c r="G364">
        <v>3510</v>
      </c>
      <c r="H364">
        <v>38.42</v>
      </c>
      <c r="I364">
        <v>20.420000000000002</v>
      </c>
      <c r="J364">
        <f t="shared" si="5"/>
        <v>58.84</v>
      </c>
      <c r="K364">
        <v>2012</v>
      </c>
      <c r="L364">
        <v>2019</v>
      </c>
    </row>
    <row r="365" spans="1:12" x14ac:dyDescent="0.5">
      <c r="A365" t="s">
        <v>72</v>
      </c>
      <c r="B365" t="s">
        <v>67</v>
      </c>
      <c r="C365" t="s">
        <v>23</v>
      </c>
      <c r="D365">
        <v>1.4</v>
      </c>
      <c r="E365" t="s">
        <v>119</v>
      </c>
      <c r="F365">
        <v>345</v>
      </c>
      <c r="G365">
        <v>78</v>
      </c>
      <c r="H365">
        <v>26.9</v>
      </c>
      <c r="I365">
        <v>14.13</v>
      </c>
      <c r="J365">
        <f t="shared" si="5"/>
        <v>41.03</v>
      </c>
      <c r="K365">
        <v>2012</v>
      </c>
      <c r="L365">
        <v>2019</v>
      </c>
    </row>
    <row r="366" spans="1:12" x14ac:dyDescent="0.5">
      <c r="A366" t="s">
        <v>72</v>
      </c>
      <c r="B366" t="s">
        <v>67</v>
      </c>
      <c r="C366" t="s">
        <v>23</v>
      </c>
      <c r="D366">
        <v>1.5</v>
      </c>
      <c r="E366" t="s">
        <v>118</v>
      </c>
      <c r="F366">
        <v>276</v>
      </c>
      <c r="G366">
        <v>390</v>
      </c>
      <c r="H366">
        <v>34.58</v>
      </c>
      <c r="I366">
        <v>12.56</v>
      </c>
      <c r="J366">
        <f t="shared" si="5"/>
        <v>47.14</v>
      </c>
      <c r="K366">
        <v>2012</v>
      </c>
      <c r="L366">
        <v>2019</v>
      </c>
    </row>
    <row r="367" spans="1:12" x14ac:dyDescent="0.5">
      <c r="A367" t="s">
        <v>72</v>
      </c>
      <c r="B367" t="s">
        <v>67</v>
      </c>
      <c r="C367" t="s">
        <v>23</v>
      </c>
      <c r="D367">
        <v>1.6</v>
      </c>
      <c r="E367" t="s">
        <v>117</v>
      </c>
      <c r="F367">
        <v>138</v>
      </c>
      <c r="G367">
        <v>468</v>
      </c>
      <c r="H367">
        <v>30.74</v>
      </c>
      <c r="I367">
        <v>10.99</v>
      </c>
      <c r="J367">
        <f t="shared" si="5"/>
        <v>41.73</v>
      </c>
      <c r="K367">
        <v>2012</v>
      </c>
      <c r="L367">
        <v>2019</v>
      </c>
    </row>
    <row r="368" spans="1:12" x14ac:dyDescent="0.5">
      <c r="A368" t="s">
        <v>72</v>
      </c>
      <c r="B368" t="s">
        <v>67</v>
      </c>
      <c r="C368" t="s">
        <v>23</v>
      </c>
      <c r="D368">
        <v>1.7</v>
      </c>
      <c r="E368" t="s">
        <v>116</v>
      </c>
      <c r="F368">
        <v>241.5</v>
      </c>
      <c r="G368">
        <v>1170</v>
      </c>
      <c r="H368">
        <v>34.58</v>
      </c>
      <c r="I368">
        <v>15.7</v>
      </c>
      <c r="J368">
        <f t="shared" si="5"/>
        <v>50.28</v>
      </c>
      <c r="K368">
        <v>2012</v>
      </c>
      <c r="L368">
        <v>2019</v>
      </c>
    </row>
    <row r="369" spans="1:12" x14ac:dyDescent="0.5">
      <c r="A369" t="s">
        <v>72</v>
      </c>
      <c r="B369" t="s">
        <v>67</v>
      </c>
      <c r="C369" t="s">
        <v>23</v>
      </c>
      <c r="D369">
        <v>1.8</v>
      </c>
      <c r="E369" t="s">
        <v>115</v>
      </c>
      <c r="F369">
        <v>690</v>
      </c>
      <c r="G369">
        <v>1404</v>
      </c>
      <c r="H369">
        <v>101.44</v>
      </c>
      <c r="I369">
        <v>33.92</v>
      </c>
      <c r="J369">
        <f t="shared" si="5"/>
        <v>135.36000000000001</v>
      </c>
      <c r="K369">
        <v>2012</v>
      </c>
      <c r="L369">
        <v>2019</v>
      </c>
    </row>
    <row r="370" spans="1:12" x14ac:dyDescent="0.5">
      <c r="A370" t="s">
        <v>72</v>
      </c>
      <c r="B370" t="s">
        <v>67</v>
      </c>
      <c r="C370" t="s">
        <v>23</v>
      </c>
      <c r="D370">
        <v>1.9</v>
      </c>
      <c r="E370" t="s">
        <v>114</v>
      </c>
      <c r="F370">
        <v>0</v>
      </c>
      <c r="G370">
        <v>0</v>
      </c>
      <c r="H370">
        <v>57.54</v>
      </c>
      <c r="I370">
        <v>11.76</v>
      </c>
      <c r="J370">
        <f t="shared" si="5"/>
        <v>69.3</v>
      </c>
      <c r="K370">
        <v>2012</v>
      </c>
      <c r="L370">
        <v>2019</v>
      </c>
    </row>
    <row r="371" spans="1:12" x14ac:dyDescent="0.5">
      <c r="A371" t="s">
        <v>72</v>
      </c>
      <c r="B371" t="s">
        <v>67</v>
      </c>
      <c r="C371" t="s">
        <v>23</v>
      </c>
      <c r="D371">
        <v>1.1000000000000001</v>
      </c>
      <c r="E371" t="s">
        <v>113</v>
      </c>
      <c r="F371">
        <v>0</v>
      </c>
      <c r="G371">
        <v>0</v>
      </c>
      <c r="H371">
        <v>38.44</v>
      </c>
      <c r="I371">
        <v>17.29</v>
      </c>
      <c r="J371">
        <f t="shared" si="5"/>
        <v>55.73</v>
      </c>
      <c r="K371">
        <v>2012</v>
      </c>
      <c r="L371">
        <v>2019</v>
      </c>
    </row>
    <row r="372" spans="1:12" x14ac:dyDescent="0.5">
      <c r="A372" t="s">
        <v>73</v>
      </c>
      <c r="B372" t="s">
        <v>74</v>
      </c>
      <c r="C372" t="s">
        <v>33</v>
      </c>
      <c r="D372">
        <v>1.1000000000000001</v>
      </c>
      <c r="E372" t="s">
        <v>122</v>
      </c>
      <c r="F372">
        <v>19.8</v>
      </c>
      <c r="G372">
        <v>0</v>
      </c>
      <c r="H372">
        <v>1.93</v>
      </c>
      <c r="I372">
        <v>1.1499999999999999</v>
      </c>
      <c r="J372">
        <f t="shared" si="5"/>
        <v>3.08</v>
      </c>
      <c r="K372">
        <v>2005</v>
      </c>
      <c r="L372">
        <v>2010</v>
      </c>
    </row>
    <row r="373" spans="1:12" x14ac:dyDescent="0.5">
      <c r="A373" t="s">
        <v>73</v>
      </c>
      <c r="B373" t="s">
        <v>74</v>
      </c>
      <c r="C373" t="s">
        <v>33</v>
      </c>
      <c r="D373">
        <v>1.2</v>
      </c>
      <c r="E373" t="s">
        <v>121</v>
      </c>
      <c r="F373">
        <v>6.6</v>
      </c>
      <c r="G373">
        <v>5.4</v>
      </c>
      <c r="H373">
        <v>1.21</v>
      </c>
      <c r="I373">
        <v>0.56999999999999995</v>
      </c>
      <c r="J373">
        <f t="shared" si="5"/>
        <v>1.7799999999999998</v>
      </c>
      <c r="K373">
        <v>2005</v>
      </c>
      <c r="L373">
        <v>2010</v>
      </c>
    </row>
    <row r="374" spans="1:12" x14ac:dyDescent="0.5">
      <c r="A374" t="s">
        <v>73</v>
      </c>
      <c r="B374" t="s">
        <v>74</v>
      </c>
      <c r="C374" t="s">
        <v>33</v>
      </c>
      <c r="D374">
        <v>1.3</v>
      </c>
      <c r="E374" t="s">
        <v>120</v>
      </c>
      <c r="F374">
        <v>13.2</v>
      </c>
      <c r="G374">
        <v>81</v>
      </c>
      <c r="H374">
        <v>2.41</v>
      </c>
      <c r="I374">
        <v>1.24</v>
      </c>
      <c r="J374">
        <f t="shared" si="5"/>
        <v>3.6500000000000004</v>
      </c>
      <c r="K374">
        <v>2005</v>
      </c>
      <c r="L374">
        <v>2010</v>
      </c>
    </row>
    <row r="375" spans="1:12" x14ac:dyDescent="0.5">
      <c r="A375" t="s">
        <v>73</v>
      </c>
      <c r="B375" t="s">
        <v>74</v>
      </c>
      <c r="C375" t="s">
        <v>33</v>
      </c>
      <c r="D375">
        <v>1.4</v>
      </c>
      <c r="E375" t="s">
        <v>119</v>
      </c>
      <c r="F375">
        <v>11</v>
      </c>
      <c r="G375">
        <v>1.8</v>
      </c>
      <c r="H375">
        <v>1.69</v>
      </c>
      <c r="I375">
        <v>0.86</v>
      </c>
      <c r="J375">
        <f t="shared" si="5"/>
        <v>2.5499999999999998</v>
      </c>
      <c r="K375">
        <v>2005</v>
      </c>
      <c r="L375">
        <v>2010</v>
      </c>
    </row>
    <row r="376" spans="1:12" x14ac:dyDescent="0.5">
      <c r="A376" t="s">
        <v>73</v>
      </c>
      <c r="B376" t="s">
        <v>74</v>
      </c>
      <c r="C376" t="s">
        <v>33</v>
      </c>
      <c r="D376">
        <v>1.5</v>
      </c>
      <c r="E376" t="s">
        <v>118</v>
      </c>
      <c r="F376">
        <v>8.8000000000000007</v>
      </c>
      <c r="G376">
        <v>9</v>
      </c>
      <c r="H376">
        <v>2.17</v>
      </c>
      <c r="I376">
        <v>0.77</v>
      </c>
      <c r="J376">
        <f t="shared" si="5"/>
        <v>2.94</v>
      </c>
      <c r="K376">
        <v>2005</v>
      </c>
      <c r="L376">
        <v>2010</v>
      </c>
    </row>
    <row r="377" spans="1:12" x14ac:dyDescent="0.5">
      <c r="A377" t="s">
        <v>73</v>
      </c>
      <c r="B377" t="s">
        <v>74</v>
      </c>
      <c r="C377" t="s">
        <v>33</v>
      </c>
      <c r="D377">
        <v>1.6</v>
      </c>
      <c r="E377" t="s">
        <v>117</v>
      </c>
      <c r="F377">
        <v>4.4000000000000004</v>
      </c>
      <c r="G377">
        <v>10.8</v>
      </c>
      <c r="H377">
        <v>1.93</v>
      </c>
      <c r="I377">
        <v>0.67</v>
      </c>
      <c r="J377">
        <f t="shared" si="5"/>
        <v>2.6</v>
      </c>
      <c r="K377">
        <v>2005</v>
      </c>
      <c r="L377">
        <v>2010</v>
      </c>
    </row>
    <row r="378" spans="1:12" x14ac:dyDescent="0.5">
      <c r="A378" t="s">
        <v>73</v>
      </c>
      <c r="B378" t="s">
        <v>74</v>
      </c>
      <c r="C378" t="s">
        <v>33</v>
      </c>
      <c r="D378">
        <v>1.7</v>
      </c>
      <c r="E378" t="s">
        <v>116</v>
      </c>
      <c r="F378">
        <v>7.7</v>
      </c>
      <c r="G378">
        <v>27</v>
      </c>
      <c r="H378">
        <v>2.17</v>
      </c>
      <c r="I378">
        <v>0.96</v>
      </c>
      <c r="J378">
        <f t="shared" si="5"/>
        <v>3.13</v>
      </c>
      <c r="K378">
        <v>2005</v>
      </c>
      <c r="L378">
        <v>2010</v>
      </c>
    </row>
    <row r="379" spans="1:12" x14ac:dyDescent="0.5">
      <c r="A379" t="s">
        <v>73</v>
      </c>
      <c r="B379" t="s">
        <v>74</v>
      </c>
      <c r="C379" t="s">
        <v>33</v>
      </c>
      <c r="D379">
        <v>1.8</v>
      </c>
      <c r="E379" t="s">
        <v>115</v>
      </c>
      <c r="F379">
        <v>22</v>
      </c>
      <c r="G379">
        <v>32.4</v>
      </c>
      <c r="H379">
        <v>4.88</v>
      </c>
      <c r="I379">
        <v>1.58</v>
      </c>
      <c r="J379">
        <f t="shared" si="5"/>
        <v>6.46</v>
      </c>
      <c r="K379">
        <v>2005</v>
      </c>
      <c r="L379">
        <v>2010</v>
      </c>
    </row>
    <row r="380" spans="1:12" x14ac:dyDescent="0.5">
      <c r="A380" t="s">
        <v>73</v>
      </c>
      <c r="B380" t="s">
        <v>74</v>
      </c>
      <c r="C380" t="s">
        <v>33</v>
      </c>
      <c r="D380">
        <v>1.9</v>
      </c>
      <c r="E380" t="s">
        <v>114</v>
      </c>
      <c r="F380">
        <v>0</v>
      </c>
      <c r="G380">
        <v>0</v>
      </c>
      <c r="H380">
        <v>2.64</v>
      </c>
      <c r="I380">
        <v>0.52</v>
      </c>
      <c r="J380">
        <f t="shared" si="5"/>
        <v>3.16</v>
      </c>
      <c r="K380">
        <v>2005</v>
      </c>
      <c r="L380">
        <v>2010</v>
      </c>
    </row>
    <row r="381" spans="1:12" x14ac:dyDescent="0.5">
      <c r="A381" t="s">
        <v>73</v>
      </c>
      <c r="B381" t="s">
        <v>74</v>
      </c>
      <c r="C381" t="s">
        <v>33</v>
      </c>
      <c r="D381">
        <v>1.1000000000000001</v>
      </c>
      <c r="E381" t="s">
        <v>113</v>
      </c>
      <c r="F381">
        <v>0</v>
      </c>
      <c r="G381">
        <v>0</v>
      </c>
      <c r="H381">
        <v>2.41</v>
      </c>
      <c r="I381">
        <v>1.06</v>
      </c>
      <c r="J381">
        <f t="shared" si="5"/>
        <v>3.47</v>
      </c>
      <c r="K381">
        <v>2005</v>
      </c>
      <c r="L381">
        <v>2010</v>
      </c>
    </row>
    <row r="382" spans="1:12" x14ac:dyDescent="0.5">
      <c r="A382" t="s">
        <v>75</v>
      </c>
      <c r="B382" t="s">
        <v>74</v>
      </c>
      <c r="C382" t="s">
        <v>33</v>
      </c>
      <c r="D382">
        <v>1.1000000000000001</v>
      </c>
      <c r="E382" t="s">
        <v>122</v>
      </c>
      <c r="F382">
        <v>26.1</v>
      </c>
      <c r="G382">
        <v>0</v>
      </c>
      <c r="H382">
        <v>2.29</v>
      </c>
      <c r="I382">
        <v>1.37</v>
      </c>
      <c r="J382">
        <f t="shared" si="5"/>
        <v>3.66</v>
      </c>
      <c r="K382">
        <v>2007</v>
      </c>
      <c r="L382">
        <v>2012</v>
      </c>
    </row>
    <row r="383" spans="1:12" x14ac:dyDescent="0.5">
      <c r="A383" t="s">
        <v>75</v>
      </c>
      <c r="B383" t="s">
        <v>74</v>
      </c>
      <c r="C383" t="s">
        <v>33</v>
      </c>
      <c r="D383">
        <v>1.2</v>
      </c>
      <c r="E383" t="s">
        <v>121</v>
      </c>
      <c r="F383">
        <v>8.6999999999999993</v>
      </c>
      <c r="G383">
        <v>6.9</v>
      </c>
      <c r="H383">
        <v>1.43</v>
      </c>
      <c r="I383">
        <v>0.68</v>
      </c>
      <c r="J383">
        <f t="shared" si="5"/>
        <v>2.11</v>
      </c>
      <c r="K383">
        <v>2007</v>
      </c>
      <c r="L383">
        <v>2012</v>
      </c>
    </row>
    <row r="384" spans="1:12" x14ac:dyDescent="0.5">
      <c r="A384" t="s">
        <v>75</v>
      </c>
      <c r="B384" t="s">
        <v>74</v>
      </c>
      <c r="C384" t="s">
        <v>33</v>
      </c>
      <c r="D384">
        <v>1.3</v>
      </c>
      <c r="E384" t="s">
        <v>120</v>
      </c>
      <c r="F384">
        <v>17.399999999999999</v>
      </c>
      <c r="G384">
        <v>103.5</v>
      </c>
      <c r="H384">
        <v>2.86</v>
      </c>
      <c r="I384">
        <v>1.48</v>
      </c>
      <c r="J384">
        <f t="shared" si="5"/>
        <v>4.34</v>
      </c>
      <c r="K384">
        <v>2007</v>
      </c>
      <c r="L384">
        <v>2012</v>
      </c>
    </row>
    <row r="385" spans="1:12" x14ac:dyDescent="0.5">
      <c r="A385" t="s">
        <v>75</v>
      </c>
      <c r="B385" t="s">
        <v>74</v>
      </c>
      <c r="C385" t="s">
        <v>33</v>
      </c>
      <c r="D385">
        <v>1.4</v>
      </c>
      <c r="E385" t="s">
        <v>119</v>
      </c>
      <c r="F385">
        <v>14.5</v>
      </c>
      <c r="G385">
        <v>2.2999999999999998</v>
      </c>
      <c r="H385">
        <v>2.0099999999999998</v>
      </c>
      <c r="I385">
        <v>1.02</v>
      </c>
      <c r="J385">
        <f t="shared" si="5"/>
        <v>3.03</v>
      </c>
      <c r="K385">
        <v>2007</v>
      </c>
      <c r="L385">
        <v>2012</v>
      </c>
    </row>
    <row r="386" spans="1:12" x14ac:dyDescent="0.5">
      <c r="A386" t="s">
        <v>75</v>
      </c>
      <c r="B386" t="s">
        <v>74</v>
      </c>
      <c r="C386" t="s">
        <v>33</v>
      </c>
      <c r="D386">
        <v>1.5</v>
      </c>
      <c r="E386" t="s">
        <v>118</v>
      </c>
      <c r="F386">
        <v>11.6</v>
      </c>
      <c r="G386">
        <v>11.5</v>
      </c>
      <c r="H386">
        <v>2.58</v>
      </c>
      <c r="I386">
        <v>0.91</v>
      </c>
      <c r="J386">
        <f t="shared" si="5"/>
        <v>3.49</v>
      </c>
      <c r="K386">
        <v>2007</v>
      </c>
      <c r="L386">
        <v>2012</v>
      </c>
    </row>
    <row r="387" spans="1:12" x14ac:dyDescent="0.5">
      <c r="A387" t="s">
        <v>75</v>
      </c>
      <c r="B387" t="s">
        <v>74</v>
      </c>
      <c r="C387" t="s">
        <v>33</v>
      </c>
      <c r="D387">
        <v>1.6</v>
      </c>
      <c r="E387" t="s">
        <v>117</v>
      </c>
      <c r="F387">
        <v>5.8</v>
      </c>
      <c r="G387">
        <v>13.8</v>
      </c>
      <c r="H387">
        <v>2.29</v>
      </c>
      <c r="I387">
        <v>0.8</v>
      </c>
      <c r="J387">
        <f t="shared" ref="J387:J450" si="6">SUM(H387:I387)</f>
        <v>3.09</v>
      </c>
      <c r="K387">
        <v>2007</v>
      </c>
      <c r="L387">
        <v>2012</v>
      </c>
    </row>
    <row r="388" spans="1:12" x14ac:dyDescent="0.5">
      <c r="A388" t="s">
        <v>75</v>
      </c>
      <c r="B388" t="s">
        <v>74</v>
      </c>
      <c r="C388" t="s">
        <v>33</v>
      </c>
      <c r="D388">
        <v>1.7</v>
      </c>
      <c r="E388" t="s">
        <v>116</v>
      </c>
      <c r="F388">
        <v>10.199999999999999</v>
      </c>
      <c r="G388">
        <v>34.5</v>
      </c>
      <c r="H388">
        <v>2.58</v>
      </c>
      <c r="I388">
        <v>1.1399999999999999</v>
      </c>
      <c r="J388">
        <f t="shared" si="6"/>
        <v>3.7199999999999998</v>
      </c>
      <c r="K388">
        <v>2007</v>
      </c>
      <c r="L388">
        <v>2012</v>
      </c>
    </row>
    <row r="389" spans="1:12" x14ac:dyDescent="0.5">
      <c r="A389" t="s">
        <v>75</v>
      </c>
      <c r="B389" t="s">
        <v>74</v>
      </c>
      <c r="C389" t="s">
        <v>33</v>
      </c>
      <c r="D389">
        <v>1.8</v>
      </c>
      <c r="E389" t="s">
        <v>115</v>
      </c>
      <c r="F389">
        <v>29</v>
      </c>
      <c r="G389">
        <v>41.4</v>
      </c>
      <c r="H389">
        <v>6.05</v>
      </c>
      <c r="I389">
        <v>1.97</v>
      </c>
      <c r="J389">
        <f t="shared" si="6"/>
        <v>8.02</v>
      </c>
      <c r="K389">
        <v>2007</v>
      </c>
      <c r="L389">
        <v>2012</v>
      </c>
    </row>
    <row r="390" spans="1:12" x14ac:dyDescent="0.5">
      <c r="A390" t="s">
        <v>75</v>
      </c>
      <c r="B390" t="s">
        <v>74</v>
      </c>
      <c r="C390" t="s">
        <v>33</v>
      </c>
      <c r="D390">
        <v>1.9</v>
      </c>
      <c r="E390" t="s">
        <v>114</v>
      </c>
      <c r="F390">
        <v>0</v>
      </c>
      <c r="G390">
        <v>0</v>
      </c>
      <c r="H390">
        <v>3.18</v>
      </c>
      <c r="I390">
        <v>0.63</v>
      </c>
      <c r="J390">
        <f t="shared" si="6"/>
        <v>3.81</v>
      </c>
      <c r="K390">
        <v>2007</v>
      </c>
      <c r="L390">
        <v>2012</v>
      </c>
    </row>
    <row r="391" spans="1:12" x14ac:dyDescent="0.5">
      <c r="A391" t="s">
        <v>75</v>
      </c>
      <c r="B391" t="s">
        <v>74</v>
      </c>
      <c r="C391" t="s">
        <v>33</v>
      </c>
      <c r="D391">
        <v>1.1000000000000001</v>
      </c>
      <c r="E391" t="s">
        <v>113</v>
      </c>
      <c r="F391">
        <v>0</v>
      </c>
      <c r="G391">
        <v>0</v>
      </c>
      <c r="H391">
        <v>2.86</v>
      </c>
      <c r="I391">
        <v>1.25</v>
      </c>
      <c r="J391">
        <f t="shared" si="6"/>
        <v>4.1099999999999994</v>
      </c>
      <c r="K391">
        <v>2007</v>
      </c>
      <c r="L391">
        <v>2012</v>
      </c>
    </row>
    <row r="392" spans="1:12" x14ac:dyDescent="0.5">
      <c r="A392" t="s">
        <v>76</v>
      </c>
      <c r="B392" t="s">
        <v>74</v>
      </c>
      <c r="C392" t="s">
        <v>33</v>
      </c>
      <c r="D392">
        <v>1.1000000000000001</v>
      </c>
      <c r="E392" t="s">
        <v>122</v>
      </c>
      <c r="F392">
        <v>34.200000000000003</v>
      </c>
      <c r="G392">
        <v>0</v>
      </c>
      <c r="H392">
        <v>2.25</v>
      </c>
      <c r="I392">
        <v>1.34</v>
      </c>
      <c r="J392">
        <f t="shared" si="6"/>
        <v>3.59</v>
      </c>
      <c r="K392">
        <v>2009</v>
      </c>
      <c r="L392">
        <v>2014</v>
      </c>
    </row>
    <row r="393" spans="1:12" x14ac:dyDescent="0.5">
      <c r="A393" t="s">
        <v>76</v>
      </c>
      <c r="B393" t="s">
        <v>74</v>
      </c>
      <c r="C393" t="s">
        <v>33</v>
      </c>
      <c r="D393">
        <v>1.2</v>
      </c>
      <c r="E393" t="s">
        <v>121</v>
      </c>
      <c r="F393">
        <v>11.4</v>
      </c>
      <c r="G393">
        <v>9</v>
      </c>
      <c r="H393">
        <v>1.4</v>
      </c>
      <c r="I393">
        <v>0.67</v>
      </c>
      <c r="J393">
        <f t="shared" si="6"/>
        <v>2.0699999999999998</v>
      </c>
      <c r="K393">
        <v>2009</v>
      </c>
      <c r="L393">
        <v>2014</v>
      </c>
    </row>
    <row r="394" spans="1:12" x14ac:dyDescent="0.5">
      <c r="A394" t="s">
        <v>76</v>
      </c>
      <c r="B394" t="s">
        <v>74</v>
      </c>
      <c r="C394" t="s">
        <v>33</v>
      </c>
      <c r="D394">
        <v>1.3</v>
      </c>
      <c r="E394" t="s">
        <v>120</v>
      </c>
      <c r="F394">
        <v>22.8</v>
      </c>
      <c r="G394">
        <v>135</v>
      </c>
      <c r="H394">
        <v>2.81</v>
      </c>
      <c r="I394">
        <v>1.45</v>
      </c>
      <c r="J394">
        <f t="shared" si="6"/>
        <v>4.26</v>
      </c>
      <c r="K394">
        <v>2009</v>
      </c>
      <c r="L394">
        <v>2014</v>
      </c>
    </row>
    <row r="395" spans="1:12" x14ac:dyDescent="0.5">
      <c r="A395" t="s">
        <v>76</v>
      </c>
      <c r="B395" t="s">
        <v>74</v>
      </c>
      <c r="C395" t="s">
        <v>33</v>
      </c>
      <c r="D395">
        <v>1.4</v>
      </c>
      <c r="E395" t="s">
        <v>119</v>
      </c>
      <c r="F395">
        <v>19</v>
      </c>
      <c r="G395">
        <v>3</v>
      </c>
      <c r="H395">
        <v>1.97</v>
      </c>
      <c r="I395">
        <v>1.01</v>
      </c>
      <c r="J395">
        <f t="shared" si="6"/>
        <v>2.98</v>
      </c>
      <c r="K395">
        <v>2009</v>
      </c>
      <c r="L395">
        <v>2014</v>
      </c>
    </row>
    <row r="396" spans="1:12" x14ac:dyDescent="0.5">
      <c r="A396" t="s">
        <v>76</v>
      </c>
      <c r="B396" t="s">
        <v>74</v>
      </c>
      <c r="C396" t="s">
        <v>33</v>
      </c>
      <c r="D396">
        <v>1.5</v>
      </c>
      <c r="E396" t="s">
        <v>118</v>
      </c>
      <c r="F396">
        <v>15.2</v>
      </c>
      <c r="G396">
        <v>15</v>
      </c>
      <c r="H396">
        <v>2.5299999999999998</v>
      </c>
      <c r="I396">
        <v>0.89</v>
      </c>
      <c r="J396">
        <f t="shared" si="6"/>
        <v>3.42</v>
      </c>
      <c r="K396">
        <v>2009</v>
      </c>
      <c r="L396">
        <v>2014</v>
      </c>
    </row>
    <row r="397" spans="1:12" x14ac:dyDescent="0.5">
      <c r="A397" t="s">
        <v>76</v>
      </c>
      <c r="B397" t="s">
        <v>74</v>
      </c>
      <c r="C397" t="s">
        <v>33</v>
      </c>
      <c r="D397">
        <v>1.6</v>
      </c>
      <c r="E397" t="s">
        <v>117</v>
      </c>
      <c r="F397">
        <v>7.6</v>
      </c>
      <c r="G397">
        <v>18</v>
      </c>
      <c r="H397">
        <v>2.25</v>
      </c>
      <c r="I397">
        <v>0.78</v>
      </c>
      <c r="J397">
        <f t="shared" si="6"/>
        <v>3.0300000000000002</v>
      </c>
      <c r="K397">
        <v>2009</v>
      </c>
      <c r="L397">
        <v>2014</v>
      </c>
    </row>
    <row r="398" spans="1:12" x14ac:dyDescent="0.5">
      <c r="A398" t="s">
        <v>76</v>
      </c>
      <c r="B398" t="s">
        <v>74</v>
      </c>
      <c r="C398" t="s">
        <v>33</v>
      </c>
      <c r="D398">
        <v>1.7</v>
      </c>
      <c r="E398" t="s">
        <v>116</v>
      </c>
      <c r="F398">
        <v>13.3</v>
      </c>
      <c r="G398">
        <v>45</v>
      </c>
      <c r="H398">
        <v>2.5299999999999998</v>
      </c>
      <c r="I398">
        <v>1.1200000000000001</v>
      </c>
      <c r="J398">
        <f t="shared" si="6"/>
        <v>3.65</v>
      </c>
      <c r="K398">
        <v>2009</v>
      </c>
      <c r="L398">
        <v>2014</v>
      </c>
    </row>
    <row r="399" spans="1:12" x14ac:dyDescent="0.5">
      <c r="A399" t="s">
        <v>76</v>
      </c>
      <c r="B399" t="s">
        <v>74</v>
      </c>
      <c r="C399" t="s">
        <v>33</v>
      </c>
      <c r="D399">
        <v>1.8</v>
      </c>
      <c r="E399" t="s">
        <v>115</v>
      </c>
      <c r="F399">
        <v>38</v>
      </c>
      <c r="G399">
        <v>54</v>
      </c>
      <c r="H399">
        <v>5.93</v>
      </c>
      <c r="I399">
        <v>1.93</v>
      </c>
      <c r="J399">
        <f t="shared" si="6"/>
        <v>7.8599999999999994</v>
      </c>
      <c r="K399">
        <v>2009</v>
      </c>
      <c r="L399">
        <v>2014</v>
      </c>
    </row>
    <row r="400" spans="1:12" x14ac:dyDescent="0.5">
      <c r="A400" t="s">
        <v>76</v>
      </c>
      <c r="B400" t="s">
        <v>74</v>
      </c>
      <c r="C400" t="s">
        <v>33</v>
      </c>
      <c r="D400">
        <v>1.9</v>
      </c>
      <c r="E400" t="s">
        <v>114</v>
      </c>
      <c r="F400">
        <v>0</v>
      </c>
      <c r="G400">
        <v>0</v>
      </c>
      <c r="H400">
        <v>3.16</v>
      </c>
      <c r="I400">
        <v>0.63</v>
      </c>
      <c r="J400">
        <f t="shared" si="6"/>
        <v>3.79</v>
      </c>
      <c r="K400">
        <v>2009</v>
      </c>
      <c r="L400">
        <v>2014</v>
      </c>
    </row>
    <row r="401" spans="1:12" x14ac:dyDescent="0.5">
      <c r="A401" t="s">
        <v>76</v>
      </c>
      <c r="B401" t="s">
        <v>74</v>
      </c>
      <c r="C401" t="s">
        <v>33</v>
      </c>
      <c r="D401">
        <v>1.1000000000000001</v>
      </c>
      <c r="E401" t="s">
        <v>113</v>
      </c>
      <c r="F401">
        <v>0</v>
      </c>
      <c r="G401">
        <v>0</v>
      </c>
      <c r="H401">
        <v>2.8</v>
      </c>
      <c r="I401">
        <v>1.23</v>
      </c>
      <c r="J401">
        <f t="shared" si="6"/>
        <v>4.0299999999999994</v>
      </c>
      <c r="K401">
        <v>2009</v>
      </c>
      <c r="L401">
        <v>2014</v>
      </c>
    </row>
    <row r="402" spans="1:12" x14ac:dyDescent="0.5">
      <c r="A402" t="s">
        <v>77</v>
      </c>
      <c r="B402" t="s">
        <v>74</v>
      </c>
      <c r="C402" t="s">
        <v>33</v>
      </c>
      <c r="D402">
        <v>1.1000000000000001</v>
      </c>
      <c r="E402" t="s">
        <v>122</v>
      </c>
      <c r="F402">
        <v>43.2</v>
      </c>
      <c r="G402">
        <v>0</v>
      </c>
      <c r="H402">
        <v>3.01</v>
      </c>
      <c r="I402">
        <v>1.8</v>
      </c>
      <c r="J402">
        <f t="shared" si="6"/>
        <v>4.8099999999999996</v>
      </c>
      <c r="K402">
        <v>2011</v>
      </c>
      <c r="L402">
        <v>2016</v>
      </c>
    </row>
    <row r="403" spans="1:12" x14ac:dyDescent="0.5">
      <c r="A403" t="s">
        <v>77</v>
      </c>
      <c r="B403" t="s">
        <v>74</v>
      </c>
      <c r="C403" t="s">
        <v>33</v>
      </c>
      <c r="D403">
        <v>1.2</v>
      </c>
      <c r="E403" t="s">
        <v>121</v>
      </c>
      <c r="F403">
        <v>14.4</v>
      </c>
      <c r="G403">
        <v>11.4</v>
      </c>
      <c r="H403">
        <v>1.88</v>
      </c>
      <c r="I403">
        <v>0.9</v>
      </c>
      <c r="J403">
        <f t="shared" si="6"/>
        <v>2.78</v>
      </c>
      <c r="K403">
        <v>2011</v>
      </c>
      <c r="L403">
        <v>2016</v>
      </c>
    </row>
    <row r="404" spans="1:12" x14ac:dyDescent="0.5">
      <c r="A404" t="s">
        <v>77</v>
      </c>
      <c r="B404" t="s">
        <v>74</v>
      </c>
      <c r="C404" t="s">
        <v>33</v>
      </c>
      <c r="D404">
        <v>1.3</v>
      </c>
      <c r="E404" t="s">
        <v>120</v>
      </c>
      <c r="F404">
        <v>28.8</v>
      </c>
      <c r="G404">
        <v>171</v>
      </c>
      <c r="H404">
        <v>3.77</v>
      </c>
      <c r="I404">
        <v>1.95</v>
      </c>
      <c r="J404">
        <f t="shared" si="6"/>
        <v>5.72</v>
      </c>
      <c r="K404">
        <v>2011</v>
      </c>
      <c r="L404">
        <v>2016</v>
      </c>
    </row>
    <row r="405" spans="1:12" x14ac:dyDescent="0.5">
      <c r="A405" t="s">
        <v>77</v>
      </c>
      <c r="B405" t="s">
        <v>74</v>
      </c>
      <c r="C405" t="s">
        <v>33</v>
      </c>
      <c r="D405">
        <v>1.4</v>
      </c>
      <c r="E405" t="s">
        <v>119</v>
      </c>
      <c r="F405">
        <v>24</v>
      </c>
      <c r="G405">
        <v>3.8</v>
      </c>
      <c r="H405">
        <v>2.64</v>
      </c>
      <c r="I405">
        <v>1.35</v>
      </c>
      <c r="J405">
        <f t="shared" si="6"/>
        <v>3.99</v>
      </c>
      <c r="K405">
        <v>2011</v>
      </c>
      <c r="L405">
        <v>2016</v>
      </c>
    </row>
    <row r="406" spans="1:12" x14ac:dyDescent="0.5">
      <c r="A406" t="s">
        <v>77</v>
      </c>
      <c r="B406" t="s">
        <v>74</v>
      </c>
      <c r="C406" t="s">
        <v>33</v>
      </c>
      <c r="D406">
        <v>1.5</v>
      </c>
      <c r="E406" t="s">
        <v>118</v>
      </c>
      <c r="F406">
        <v>19.2</v>
      </c>
      <c r="G406">
        <v>19</v>
      </c>
      <c r="H406">
        <v>3.39</v>
      </c>
      <c r="I406">
        <v>1.2</v>
      </c>
      <c r="J406">
        <f t="shared" si="6"/>
        <v>4.59</v>
      </c>
      <c r="K406">
        <v>2011</v>
      </c>
      <c r="L406">
        <v>2016</v>
      </c>
    </row>
    <row r="407" spans="1:12" x14ac:dyDescent="0.5">
      <c r="A407" t="s">
        <v>77</v>
      </c>
      <c r="B407" t="s">
        <v>74</v>
      </c>
      <c r="C407" t="s">
        <v>33</v>
      </c>
      <c r="D407">
        <v>1.6</v>
      </c>
      <c r="E407" t="s">
        <v>117</v>
      </c>
      <c r="F407">
        <v>9.6</v>
      </c>
      <c r="G407">
        <v>22.8</v>
      </c>
      <c r="H407">
        <v>3.01</v>
      </c>
      <c r="I407">
        <v>1.05</v>
      </c>
      <c r="J407">
        <f t="shared" si="6"/>
        <v>4.0599999999999996</v>
      </c>
      <c r="K407">
        <v>2011</v>
      </c>
      <c r="L407">
        <v>2016</v>
      </c>
    </row>
    <row r="408" spans="1:12" x14ac:dyDescent="0.5">
      <c r="A408" t="s">
        <v>77</v>
      </c>
      <c r="B408" t="s">
        <v>74</v>
      </c>
      <c r="C408" t="s">
        <v>33</v>
      </c>
      <c r="D408">
        <v>1.7</v>
      </c>
      <c r="E408" t="s">
        <v>116</v>
      </c>
      <c r="F408">
        <v>16.8</v>
      </c>
      <c r="G408">
        <v>57</v>
      </c>
      <c r="H408">
        <v>3.39</v>
      </c>
      <c r="I408">
        <v>1.5</v>
      </c>
      <c r="J408">
        <f t="shared" si="6"/>
        <v>4.8900000000000006</v>
      </c>
      <c r="K408">
        <v>2011</v>
      </c>
      <c r="L408">
        <v>2016</v>
      </c>
    </row>
    <row r="409" spans="1:12" x14ac:dyDescent="0.5">
      <c r="A409" t="s">
        <v>77</v>
      </c>
      <c r="B409" t="s">
        <v>74</v>
      </c>
      <c r="C409" t="s">
        <v>33</v>
      </c>
      <c r="D409">
        <v>1.8</v>
      </c>
      <c r="E409" t="s">
        <v>115</v>
      </c>
      <c r="F409">
        <v>48</v>
      </c>
      <c r="G409">
        <v>68.400000000000006</v>
      </c>
      <c r="H409">
        <v>8.2899999999999991</v>
      </c>
      <c r="I409">
        <v>2.7</v>
      </c>
      <c r="J409">
        <f t="shared" si="6"/>
        <v>10.989999999999998</v>
      </c>
      <c r="K409">
        <v>2011</v>
      </c>
      <c r="L409">
        <v>2016</v>
      </c>
    </row>
    <row r="410" spans="1:12" x14ac:dyDescent="0.5">
      <c r="A410" t="s">
        <v>77</v>
      </c>
      <c r="B410" t="s">
        <v>74</v>
      </c>
      <c r="C410" t="s">
        <v>33</v>
      </c>
      <c r="D410">
        <v>1.9</v>
      </c>
      <c r="E410" t="s">
        <v>114</v>
      </c>
      <c r="F410">
        <v>0</v>
      </c>
      <c r="G410">
        <v>0</v>
      </c>
      <c r="H410">
        <v>4.29</v>
      </c>
      <c r="I410">
        <v>0.85</v>
      </c>
      <c r="J410">
        <f t="shared" si="6"/>
        <v>5.14</v>
      </c>
      <c r="K410">
        <v>2011</v>
      </c>
      <c r="L410">
        <v>2016</v>
      </c>
    </row>
    <row r="411" spans="1:12" x14ac:dyDescent="0.5">
      <c r="A411" t="s">
        <v>77</v>
      </c>
      <c r="B411" t="s">
        <v>74</v>
      </c>
      <c r="C411" t="s">
        <v>33</v>
      </c>
      <c r="D411">
        <v>1.1000000000000001</v>
      </c>
      <c r="E411" t="s">
        <v>113</v>
      </c>
      <c r="F411">
        <v>0</v>
      </c>
      <c r="G411">
        <v>0</v>
      </c>
      <c r="H411">
        <v>3.77</v>
      </c>
      <c r="I411">
        <v>1.68</v>
      </c>
      <c r="J411">
        <f t="shared" si="6"/>
        <v>5.45</v>
      </c>
      <c r="K411">
        <v>2011</v>
      </c>
      <c r="L411">
        <v>2016</v>
      </c>
    </row>
    <row r="412" spans="1:12" x14ac:dyDescent="0.5">
      <c r="A412" t="s">
        <v>78</v>
      </c>
      <c r="B412" t="s">
        <v>74</v>
      </c>
      <c r="C412" t="s">
        <v>33</v>
      </c>
      <c r="D412">
        <v>1.1000000000000001</v>
      </c>
      <c r="E412" t="s">
        <v>122</v>
      </c>
      <c r="F412">
        <v>55.8</v>
      </c>
      <c r="G412">
        <v>0</v>
      </c>
      <c r="H412">
        <v>3.72</v>
      </c>
      <c r="I412">
        <v>2.23</v>
      </c>
      <c r="J412">
        <f t="shared" si="6"/>
        <v>5.95</v>
      </c>
      <c r="K412">
        <v>2013</v>
      </c>
      <c r="L412">
        <v>2018</v>
      </c>
    </row>
    <row r="413" spans="1:12" x14ac:dyDescent="0.5">
      <c r="A413" t="s">
        <v>78</v>
      </c>
      <c r="B413" t="s">
        <v>74</v>
      </c>
      <c r="C413" t="s">
        <v>33</v>
      </c>
      <c r="D413">
        <v>1.2</v>
      </c>
      <c r="E413" t="s">
        <v>121</v>
      </c>
      <c r="F413">
        <v>18.600000000000001</v>
      </c>
      <c r="G413">
        <v>14.4</v>
      </c>
      <c r="H413">
        <v>2.33</v>
      </c>
      <c r="I413">
        <v>1.1100000000000001</v>
      </c>
      <c r="J413">
        <f t="shared" si="6"/>
        <v>3.4400000000000004</v>
      </c>
      <c r="K413">
        <v>2013</v>
      </c>
      <c r="L413">
        <v>2018</v>
      </c>
    </row>
    <row r="414" spans="1:12" x14ac:dyDescent="0.5">
      <c r="A414" t="s">
        <v>78</v>
      </c>
      <c r="B414" t="s">
        <v>74</v>
      </c>
      <c r="C414" t="s">
        <v>33</v>
      </c>
      <c r="D414">
        <v>1.3</v>
      </c>
      <c r="E414" t="s">
        <v>120</v>
      </c>
      <c r="F414">
        <v>37.200000000000003</v>
      </c>
      <c r="G414">
        <v>216</v>
      </c>
      <c r="H414">
        <v>4.6500000000000004</v>
      </c>
      <c r="I414">
        <v>2.42</v>
      </c>
      <c r="J414">
        <f t="shared" si="6"/>
        <v>7.07</v>
      </c>
      <c r="K414">
        <v>2013</v>
      </c>
      <c r="L414">
        <v>2018</v>
      </c>
    </row>
    <row r="415" spans="1:12" x14ac:dyDescent="0.5">
      <c r="A415" t="s">
        <v>78</v>
      </c>
      <c r="B415" t="s">
        <v>74</v>
      </c>
      <c r="C415" t="s">
        <v>33</v>
      </c>
      <c r="D415">
        <v>1.4</v>
      </c>
      <c r="E415" t="s">
        <v>119</v>
      </c>
      <c r="F415">
        <v>31</v>
      </c>
      <c r="G415">
        <v>4.8</v>
      </c>
      <c r="H415">
        <v>3.26</v>
      </c>
      <c r="I415">
        <v>1.67</v>
      </c>
      <c r="J415">
        <f t="shared" si="6"/>
        <v>4.93</v>
      </c>
      <c r="K415">
        <v>2013</v>
      </c>
      <c r="L415">
        <v>2018</v>
      </c>
    </row>
    <row r="416" spans="1:12" x14ac:dyDescent="0.5">
      <c r="A416" t="s">
        <v>78</v>
      </c>
      <c r="B416" t="s">
        <v>74</v>
      </c>
      <c r="C416" t="s">
        <v>33</v>
      </c>
      <c r="D416">
        <v>1.5</v>
      </c>
      <c r="E416" t="s">
        <v>118</v>
      </c>
      <c r="F416">
        <v>24.8</v>
      </c>
      <c r="G416">
        <v>24</v>
      </c>
      <c r="H416">
        <v>4.1900000000000004</v>
      </c>
      <c r="I416">
        <v>1.49</v>
      </c>
      <c r="J416">
        <f t="shared" si="6"/>
        <v>5.6800000000000006</v>
      </c>
      <c r="K416">
        <v>2013</v>
      </c>
      <c r="L416">
        <v>2018</v>
      </c>
    </row>
    <row r="417" spans="1:12" x14ac:dyDescent="0.5">
      <c r="A417" t="s">
        <v>78</v>
      </c>
      <c r="B417" t="s">
        <v>74</v>
      </c>
      <c r="C417" t="s">
        <v>33</v>
      </c>
      <c r="D417">
        <v>1.6</v>
      </c>
      <c r="E417" t="s">
        <v>117</v>
      </c>
      <c r="F417">
        <v>12.4</v>
      </c>
      <c r="G417">
        <v>28.8</v>
      </c>
      <c r="H417">
        <v>3.72</v>
      </c>
      <c r="I417">
        <v>1.3</v>
      </c>
      <c r="J417">
        <f t="shared" si="6"/>
        <v>5.0200000000000005</v>
      </c>
      <c r="K417">
        <v>2013</v>
      </c>
      <c r="L417">
        <v>2018</v>
      </c>
    </row>
    <row r="418" spans="1:12" x14ac:dyDescent="0.5">
      <c r="A418" t="s">
        <v>78</v>
      </c>
      <c r="B418" t="s">
        <v>74</v>
      </c>
      <c r="C418" t="s">
        <v>33</v>
      </c>
      <c r="D418">
        <v>1.7</v>
      </c>
      <c r="E418" t="s">
        <v>116</v>
      </c>
      <c r="F418">
        <v>21.7</v>
      </c>
      <c r="G418">
        <v>72</v>
      </c>
      <c r="H418">
        <v>4.1900000000000004</v>
      </c>
      <c r="I418">
        <v>1.86</v>
      </c>
      <c r="J418">
        <f t="shared" si="6"/>
        <v>6.0500000000000007</v>
      </c>
      <c r="K418">
        <v>2013</v>
      </c>
      <c r="L418">
        <v>2018</v>
      </c>
    </row>
    <row r="419" spans="1:12" x14ac:dyDescent="0.5">
      <c r="A419" t="s">
        <v>78</v>
      </c>
      <c r="B419" t="s">
        <v>74</v>
      </c>
      <c r="C419" t="s">
        <v>33</v>
      </c>
      <c r="D419">
        <v>1.8</v>
      </c>
      <c r="E419" t="s">
        <v>115</v>
      </c>
      <c r="F419">
        <v>62</v>
      </c>
      <c r="G419">
        <v>86.4</v>
      </c>
      <c r="H419">
        <v>10.24</v>
      </c>
      <c r="I419">
        <v>3.34</v>
      </c>
      <c r="J419">
        <f t="shared" si="6"/>
        <v>13.58</v>
      </c>
      <c r="K419">
        <v>2013</v>
      </c>
      <c r="L419">
        <v>2018</v>
      </c>
    </row>
    <row r="420" spans="1:12" x14ac:dyDescent="0.5">
      <c r="A420" t="s">
        <v>78</v>
      </c>
      <c r="B420" t="s">
        <v>74</v>
      </c>
      <c r="C420" t="s">
        <v>33</v>
      </c>
      <c r="D420">
        <v>1.9</v>
      </c>
      <c r="E420" t="s">
        <v>114</v>
      </c>
      <c r="F420">
        <v>0</v>
      </c>
      <c r="G420">
        <v>0</v>
      </c>
      <c r="H420">
        <v>5.38</v>
      </c>
      <c r="I420">
        <v>1.07</v>
      </c>
      <c r="J420">
        <f t="shared" si="6"/>
        <v>6.45</v>
      </c>
      <c r="K420">
        <v>2013</v>
      </c>
      <c r="L420">
        <v>2018</v>
      </c>
    </row>
    <row r="421" spans="1:12" x14ac:dyDescent="0.5">
      <c r="A421" t="s">
        <v>78</v>
      </c>
      <c r="B421" t="s">
        <v>74</v>
      </c>
      <c r="C421" t="s">
        <v>33</v>
      </c>
      <c r="D421">
        <v>1.1000000000000001</v>
      </c>
      <c r="E421" t="s">
        <v>113</v>
      </c>
      <c r="F421">
        <v>0</v>
      </c>
      <c r="G421">
        <v>0</v>
      </c>
      <c r="H421">
        <v>4.66</v>
      </c>
      <c r="I421">
        <v>2.0499999999999998</v>
      </c>
      <c r="J421">
        <f t="shared" si="6"/>
        <v>6.71</v>
      </c>
      <c r="K421">
        <v>2013</v>
      </c>
      <c r="L421">
        <v>2018</v>
      </c>
    </row>
    <row r="422" spans="1:12" x14ac:dyDescent="0.5">
      <c r="A422" t="s">
        <v>79</v>
      </c>
      <c r="B422" t="s">
        <v>22</v>
      </c>
      <c r="C422" t="s">
        <v>33</v>
      </c>
      <c r="D422">
        <v>1.1000000000000001</v>
      </c>
      <c r="E422" t="s">
        <v>122</v>
      </c>
      <c r="F422">
        <v>7.6</v>
      </c>
      <c r="G422">
        <v>0</v>
      </c>
      <c r="H422">
        <v>0.97</v>
      </c>
      <c r="I422">
        <v>0.57999999999999996</v>
      </c>
      <c r="J422">
        <f t="shared" si="6"/>
        <v>1.5499999999999998</v>
      </c>
      <c r="K422">
        <v>2015</v>
      </c>
      <c r="L422">
        <v>2020</v>
      </c>
    </row>
    <row r="423" spans="1:12" x14ac:dyDescent="0.5">
      <c r="A423" t="s">
        <v>79</v>
      </c>
      <c r="B423" t="s">
        <v>22</v>
      </c>
      <c r="C423" t="s">
        <v>33</v>
      </c>
      <c r="D423">
        <v>1.2</v>
      </c>
      <c r="E423" t="s">
        <v>121</v>
      </c>
      <c r="F423">
        <v>2.5</v>
      </c>
      <c r="G423">
        <v>2.9</v>
      </c>
      <c r="H423">
        <v>0.61</v>
      </c>
      <c r="I423">
        <v>0.28999999999999998</v>
      </c>
      <c r="J423">
        <f t="shared" si="6"/>
        <v>0.89999999999999991</v>
      </c>
      <c r="K423">
        <v>2015</v>
      </c>
      <c r="L423">
        <v>2020</v>
      </c>
    </row>
    <row r="424" spans="1:12" x14ac:dyDescent="0.5">
      <c r="A424" t="s">
        <v>79</v>
      </c>
      <c r="B424" t="s">
        <v>22</v>
      </c>
      <c r="C424" t="s">
        <v>33</v>
      </c>
      <c r="D424">
        <v>1.3</v>
      </c>
      <c r="E424" t="s">
        <v>120</v>
      </c>
      <c r="F424">
        <v>5</v>
      </c>
      <c r="G424">
        <v>42.8</v>
      </c>
      <c r="H424">
        <v>1.22</v>
      </c>
      <c r="I424">
        <v>0.63</v>
      </c>
      <c r="J424">
        <f t="shared" si="6"/>
        <v>1.85</v>
      </c>
      <c r="K424">
        <v>2015</v>
      </c>
      <c r="L424">
        <v>2020</v>
      </c>
    </row>
    <row r="425" spans="1:12" x14ac:dyDescent="0.5">
      <c r="A425" t="s">
        <v>79</v>
      </c>
      <c r="B425" t="s">
        <v>22</v>
      </c>
      <c r="C425" t="s">
        <v>33</v>
      </c>
      <c r="D425">
        <v>1.4</v>
      </c>
      <c r="E425" t="s">
        <v>119</v>
      </c>
      <c r="F425">
        <v>4.2</v>
      </c>
      <c r="G425">
        <v>1</v>
      </c>
      <c r="H425">
        <v>0.85</v>
      </c>
      <c r="I425">
        <v>0.43</v>
      </c>
      <c r="J425">
        <f t="shared" si="6"/>
        <v>1.28</v>
      </c>
      <c r="K425">
        <v>2015</v>
      </c>
      <c r="L425">
        <v>2020</v>
      </c>
    </row>
    <row r="426" spans="1:12" x14ac:dyDescent="0.5">
      <c r="A426" t="s">
        <v>79</v>
      </c>
      <c r="B426" t="s">
        <v>22</v>
      </c>
      <c r="C426" t="s">
        <v>33</v>
      </c>
      <c r="D426">
        <v>1.5</v>
      </c>
      <c r="E426" t="s">
        <v>118</v>
      </c>
      <c r="F426">
        <v>3.4</v>
      </c>
      <c r="G426">
        <v>4.8</v>
      </c>
      <c r="H426">
        <v>1.1000000000000001</v>
      </c>
      <c r="I426">
        <v>0.39</v>
      </c>
      <c r="J426">
        <f t="shared" si="6"/>
        <v>1.4900000000000002</v>
      </c>
      <c r="K426">
        <v>2015</v>
      </c>
      <c r="L426">
        <v>2020</v>
      </c>
    </row>
    <row r="427" spans="1:12" x14ac:dyDescent="0.5">
      <c r="A427" t="s">
        <v>79</v>
      </c>
      <c r="B427" t="s">
        <v>22</v>
      </c>
      <c r="C427" t="s">
        <v>33</v>
      </c>
      <c r="D427">
        <v>1.6</v>
      </c>
      <c r="E427" t="s">
        <v>117</v>
      </c>
      <c r="F427">
        <v>1.7</v>
      </c>
      <c r="G427">
        <v>5.7</v>
      </c>
      <c r="H427">
        <v>0.97</v>
      </c>
      <c r="I427">
        <v>0.34</v>
      </c>
      <c r="J427">
        <f t="shared" si="6"/>
        <v>1.31</v>
      </c>
      <c r="K427">
        <v>2015</v>
      </c>
      <c r="L427">
        <v>2020</v>
      </c>
    </row>
    <row r="428" spans="1:12" x14ac:dyDescent="0.5">
      <c r="A428" t="s">
        <v>79</v>
      </c>
      <c r="B428" t="s">
        <v>22</v>
      </c>
      <c r="C428" t="s">
        <v>33</v>
      </c>
      <c r="D428">
        <v>1.7</v>
      </c>
      <c r="E428" t="s">
        <v>116</v>
      </c>
      <c r="F428">
        <v>2.9</v>
      </c>
      <c r="G428">
        <v>14.2</v>
      </c>
      <c r="H428">
        <v>1.1000000000000001</v>
      </c>
      <c r="I428">
        <v>0.48</v>
      </c>
      <c r="J428">
        <f t="shared" si="6"/>
        <v>1.58</v>
      </c>
      <c r="K428">
        <v>2015</v>
      </c>
      <c r="L428">
        <v>2020</v>
      </c>
    </row>
    <row r="429" spans="1:12" x14ac:dyDescent="0.5">
      <c r="A429" t="s">
        <v>79</v>
      </c>
      <c r="B429" t="s">
        <v>22</v>
      </c>
      <c r="C429" t="s">
        <v>33</v>
      </c>
      <c r="D429">
        <v>1.8</v>
      </c>
      <c r="E429" t="s">
        <v>115</v>
      </c>
      <c r="F429">
        <v>8.4</v>
      </c>
      <c r="G429">
        <v>17.100000000000001</v>
      </c>
      <c r="H429">
        <v>2.36</v>
      </c>
      <c r="I429">
        <v>0.76</v>
      </c>
      <c r="J429">
        <f t="shared" si="6"/>
        <v>3.12</v>
      </c>
      <c r="K429">
        <v>2015</v>
      </c>
      <c r="L429">
        <v>2020</v>
      </c>
    </row>
    <row r="430" spans="1:12" x14ac:dyDescent="0.5">
      <c r="A430" t="s">
        <v>79</v>
      </c>
      <c r="B430" t="s">
        <v>22</v>
      </c>
      <c r="C430" t="s">
        <v>33</v>
      </c>
      <c r="D430">
        <v>1.9</v>
      </c>
      <c r="E430" t="s">
        <v>114</v>
      </c>
      <c r="F430">
        <v>0</v>
      </c>
      <c r="G430">
        <v>0</v>
      </c>
      <c r="H430">
        <v>1.31</v>
      </c>
      <c r="I430">
        <v>0.26</v>
      </c>
      <c r="J430">
        <f t="shared" si="6"/>
        <v>1.57</v>
      </c>
      <c r="K430">
        <v>2015</v>
      </c>
      <c r="L430">
        <v>2020</v>
      </c>
    </row>
    <row r="431" spans="1:12" x14ac:dyDescent="0.5">
      <c r="A431" t="s">
        <v>79</v>
      </c>
      <c r="B431" t="s">
        <v>22</v>
      </c>
      <c r="C431" t="s">
        <v>33</v>
      </c>
      <c r="D431">
        <v>1.1000000000000001</v>
      </c>
      <c r="E431" t="s">
        <v>113</v>
      </c>
      <c r="F431">
        <v>0</v>
      </c>
      <c r="G431">
        <v>0</v>
      </c>
      <c r="H431">
        <v>1.21</v>
      </c>
      <c r="I431">
        <v>0.52</v>
      </c>
      <c r="J431">
        <f t="shared" si="6"/>
        <v>1.73</v>
      </c>
      <c r="K431">
        <v>2015</v>
      </c>
      <c r="L431">
        <v>2020</v>
      </c>
    </row>
    <row r="432" spans="1:12" x14ac:dyDescent="0.5">
      <c r="A432" t="s">
        <v>80</v>
      </c>
      <c r="B432" t="s">
        <v>22</v>
      </c>
      <c r="C432" t="s">
        <v>33</v>
      </c>
      <c r="D432">
        <v>1.1000000000000001</v>
      </c>
      <c r="E432" t="s">
        <v>122</v>
      </c>
      <c r="F432">
        <v>9.9</v>
      </c>
      <c r="G432">
        <v>0</v>
      </c>
      <c r="H432">
        <v>1.22</v>
      </c>
      <c r="I432">
        <v>0.72</v>
      </c>
      <c r="J432">
        <f t="shared" si="6"/>
        <v>1.94</v>
      </c>
      <c r="K432">
        <v>2016</v>
      </c>
      <c r="L432">
        <v>2021</v>
      </c>
    </row>
    <row r="433" spans="1:12" x14ac:dyDescent="0.5">
      <c r="A433" t="s">
        <v>80</v>
      </c>
      <c r="B433" t="s">
        <v>22</v>
      </c>
      <c r="C433" t="s">
        <v>33</v>
      </c>
      <c r="D433">
        <v>1.2</v>
      </c>
      <c r="E433" t="s">
        <v>121</v>
      </c>
      <c r="F433">
        <v>3.3</v>
      </c>
      <c r="G433">
        <v>3.6</v>
      </c>
      <c r="H433">
        <v>0.76</v>
      </c>
      <c r="I433">
        <v>0.36</v>
      </c>
      <c r="J433">
        <f t="shared" si="6"/>
        <v>1.1200000000000001</v>
      </c>
      <c r="K433">
        <v>2016</v>
      </c>
      <c r="L433">
        <v>2021</v>
      </c>
    </row>
    <row r="434" spans="1:12" x14ac:dyDescent="0.5">
      <c r="A434" t="s">
        <v>80</v>
      </c>
      <c r="B434" t="s">
        <v>22</v>
      </c>
      <c r="C434" t="s">
        <v>33</v>
      </c>
      <c r="D434">
        <v>1.3</v>
      </c>
      <c r="E434" t="s">
        <v>120</v>
      </c>
      <c r="F434">
        <v>6.6</v>
      </c>
      <c r="G434">
        <v>54</v>
      </c>
      <c r="H434">
        <v>1.52</v>
      </c>
      <c r="I434">
        <v>0.78</v>
      </c>
      <c r="J434">
        <f t="shared" si="6"/>
        <v>2.2999999999999998</v>
      </c>
      <c r="K434">
        <v>2016</v>
      </c>
      <c r="L434">
        <v>2021</v>
      </c>
    </row>
    <row r="435" spans="1:12" x14ac:dyDescent="0.5">
      <c r="A435" t="s">
        <v>80</v>
      </c>
      <c r="B435" t="s">
        <v>22</v>
      </c>
      <c r="C435" t="s">
        <v>33</v>
      </c>
      <c r="D435">
        <v>1.4</v>
      </c>
      <c r="E435" t="s">
        <v>119</v>
      </c>
      <c r="F435">
        <v>5.5</v>
      </c>
      <c r="G435">
        <v>1.2</v>
      </c>
      <c r="H435">
        <v>1.06</v>
      </c>
      <c r="I435">
        <v>0.54</v>
      </c>
      <c r="J435">
        <f t="shared" si="6"/>
        <v>1.6</v>
      </c>
      <c r="K435">
        <v>2016</v>
      </c>
      <c r="L435">
        <v>2021</v>
      </c>
    </row>
    <row r="436" spans="1:12" x14ac:dyDescent="0.5">
      <c r="A436" t="s">
        <v>80</v>
      </c>
      <c r="B436" t="s">
        <v>22</v>
      </c>
      <c r="C436" t="s">
        <v>33</v>
      </c>
      <c r="D436">
        <v>1.5</v>
      </c>
      <c r="E436" t="s">
        <v>118</v>
      </c>
      <c r="F436">
        <v>4.4000000000000004</v>
      </c>
      <c r="G436">
        <v>6</v>
      </c>
      <c r="H436">
        <v>1.37</v>
      </c>
      <c r="I436">
        <v>0.48</v>
      </c>
      <c r="J436">
        <f t="shared" si="6"/>
        <v>1.85</v>
      </c>
      <c r="K436">
        <v>2016</v>
      </c>
      <c r="L436">
        <v>2021</v>
      </c>
    </row>
    <row r="437" spans="1:12" x14ac:dyDescent="0.5">
      <c r="A437" t="s">
        <v>80</v>
      </c>
      <c r="B437" t="s">
        <v>22</v>
      </c>
      <c r="C437" t="s">
        <v>33</v>
      </c>
      <c r="D437">
        <v>1.6</v>
      </c>
      <c r="E437" t="s">
        <v>117</v>
      </c>
      <c r="F437">
        <v>2.2000000000000002</v>
      </c>
      <c r="G437">
        <v>7.2</v>
      </c>
      <c r="H437">
        <v>1.22</v>
      </c>
      <c r="I437">
        <v>0.42</v>
      </c>
      <c r="J437">
        <f t="shared" si="6"/>
        <v>1.64</v>
      </c>
      <c r="K437">
        <v>2016</v>
      </c>
      <c r="L437">
        <v>2021</v>
      </c>
    </row>
    <row r="438" spans="1:12" x14ac:dyDescent="0.5">
      <c r="A438" t="s">
        <v>80</v>
      </c>
      <c r="B438" t="s">
        <v>22</v>
      </c>
      <c r="C438" t="s">
        <v>33</v>
      </c>
      <c r="D438">
        <v>1.7</v>
      </c>
      <c r="E438" t="s">
        <v>116</v>
      </c>
      <c r="F438">
        <v>3.9</v>
      </c>
      <c r="G438">
        <v>18</v>
      </c>
      <c r="H438">
        <v>1.37</v>
      </c>
      <c r="I438">
        <v>0.6</v>
      </c>
      <c r="J438">
        <f t="shared" si="6"/>
        <v>1.9700000000000002</v>
      </c>
      <c r="K438">
        <v>2016</v>
      </c>
      <c r="L438">
        <v>2021</v>
      </c>
    </row>
    <row r="439" spans="1:12" x14ac:dyDescent="0.5">
      <c r="A439" t="s">
        <v>80</v>
      </c>
      <c r="B439" t="s">
        <v>22</v>
      </c>
      <c r="C439" t="s">
        <v>33</v>
      </c>
      <c r="D439">
        <v>1.8</v>
      </c>
      <c r="E439" t="s">
        <v>115</v>
      </c>
      <c r="F439">
        <v>11</v>
      </c>
      <c r="G439">
        <v>21.6</v>
      </c>
      <c r="H439">
        <v>2.94</v>
      </c>
      <c r="I439">
        <v>0.95</v>
      </c>
      <c r="J439">
        <f t="shared" si="6"/>
        <v>3.8899999999999997</v>
      </c>
      <c r="K439">
        <v>2016</v>
      </c>
      <c r="L439">
        <v>2021</v>
      </c>
    </row>
    <row r="440" spans="1:12" x14ac:dyDescent="0.5">
      <c r="A440" t="s">
        <v>80</v>
      </c>
      <c r="B440" t="s">
        <v>22</v>
      </c>
      <c r="C440" t="s">
        <v>33</v>
      </c>
      <c r="D440">
        <v>1.9</v>
      </c>
      <c r="E440" t="s">
        <v>114</v>
      </c>
      <c r="F440">
        <v>0</v>
      </c>
      <c r="G440">
        <v>0</v>
      </c>
      <c r="H440">
        <v>1.64</v>
      </c>
      <c r="I440">
        <v>0.33</v>
      </c>
      <c r="J440">
        <f t="shared" si="6"/>
        <v>1.97</v>
      </c>
      <c r="K440">
        <v>2016</v>
      </c>
      <c r="L440">
        <v>2021</v>
      </c>
    </row>
    <row r="441" spans="1:12" x14ac:dyDescent="0.5">
      <c r="A441" t="s">
        <v>80</v>
      </c>
      <c r="B441" t="s">
        <v>22</v>
      </c>
      <c r="C441" t="s">
        <v>33</v>
      </c>
      <c r="D441">
        <v>1.1000000000000001</v>
      </c>
      <c r="E441" t="s">
        <v>113</v>
      </c>
      <c r="F441">
        <v>0</v>
      </c>
      <c r="G441">
        <v>0</v>
      </c>
      <c r="H441">
        <v>1.51</v>
      </c>
      <c r="I441">
        <v>0.66</v>
      </c>
      <c r="J441">
        <f t="shared" si="6"/>
        <v>2.17</v>
      </c>
      <c r="K441">
        <v>2016</v>
      </c>
      <c r="L441">
        <v>2021</v>
      </c>
    </row>
    <row r="442" spans="1:12" x14ac:dyDescent="0.5">
      <c r="A442" t="s">
        <v>81</v>
      </c>
      <c r="B442" t="s">
        <v>32</v>
      </c>
      <c r="C442" t="s">
        <v>33</v>
      </c>
      <c r="D442">
        <v>1.1000000000000001</v>
      </c>
      <c r="E442" t="s">
        <v>122</v>
      </c>
      <c r="F442">
        <v>12.2</v>
      </c>
      <c r="G442">
        <v>0</v>
      </c>
      <c r="H442">
        <v>1.43</v>
      </c>
      <c r="I442">
        <v>0.85</v>
      </c>
      <c r="J442">
        <f t="shared" si="6"/>
        <v>2.2799999999999998</v>
      </c>
      <c r="K442">
        <v>2017</v>
      </c>
      <c r="L442">
        <v>2022</v>
      </c>
    </row>
    <row r="443" spans="1:12" x14ac:dyDescent="0.5">
      <c r="A443" t="s">
        <v>81</v>
      </c>
      <c r="B443" t="s">
        <v>32</v>
      </c>
      <c r="C443" t="s">
        <v>33</v>
      </c>
      <c r="D443">
        <v>1.2</v>
      </c>
      <c r="E443" t="s">
        <v>121</v>
      </c>
      <c r="F443">
        <v>4.0999999999999996</v>
      </c>
      <c r="G443">
        <v>4.3</v>
      </c>
      <c r="H443">
        <v>0.9</v>
      </c>
      <c r="I443">
        <v>0.43</v>
      </c>
      <c r="J443">
        <f t="shared" si="6"/>
        <v>1.33</v>
      </c>
      <c r="K443">
        <v>2017</v>
      </c>
      <c r="L443">
        <v>2022</v>
      </c>
    </row>
    <row r="444" spans="1:12" x14ac:dyDescent="0.5">
      <c r="A444" t="s">
        <v>81</v>
      </c>
      <c r="B444" t="s">
        <v>32</v>
      </c>
      <c r="C444" t="s">
        <v>33</v>
      </c>
      <c r="D444">
        <v>1.3</v>
      </c>
      <c r="E444" t="s">
        <v>120</v>
      </c>
      <c r="F444">
        <v>8.1999999999999993</v>
      </c>
      <c r="G444">
        <v>65.2</v>
      </c>
      <c r="H444">
        <v>1.79</v>
      </c>
      <c r="I444">
        <v>0.92</v>
      </c>
      <c r="J444">
        <f t="shared" si="6"/>
        <v>2.71</v>
      </c>
      <c r="K444">
        <v>2017</v>
      </c>
      <c r="L444">
        <v>2022</v>
      </c>
    </row>
    <row r="445" spans="1:12" x14ac:dyDescent="0.5">
      <c r="A445" t="s">
        <v>81</v>
      </c>
      <c r="B445" t="s">
        <v>32</v>
      </c>
      <c r="C445" t="s">
        <v>33</v>
      </c>
      <c r="D445">
        <v>1.4</v>
      </c>
      <c r="E445" t="s">
        <v>119</v>
      </c>
      <c r="F445">
        <v>6.8</v>
      </c>
      <c r="G445">
        <v>1.4</v>
      </c>
      <c r="H445">
        <v>1.25</v>
      </c>
      <c r="I445">
        <v>0.64</v>
      </c>
      <c r="J445">
        <f t="shared" si="6"/>
        <v>1.8900000000000001</v>
      </c>
      <c r="K445">
        <v>2017</v>
      </c>
      <c r="L445">
        <v>2022</v>
      </c>
    </row>
    <row r="446" spans="1:12" x14ac:dyDescent="0.5">
      <c r="A446" t="s">
        <v>81</v>
      </c>
      <c r="B446" t="s">
        <v>32</v>
      </c>
      <c r="C446" t="s">
        <v>33</v>
      </c>
      <c r="D446">
        <v>1.5</v>
      </c>
      <c r="E446" t="s">
        <v>118</v>
      </c>
      <c r="F446">
        <v>5.4</v>
      </c>
      <c r="G446">
        <v>7.2</v>
      </c>
      <c r="H446">
        <v>1.61</v>
      </c>
      <c r="I446">
        <v>0.56999999999999995</v>
      </c>
      <c r="J446">
        <f t="shared" si="6"/>
        <v>2.1800000000000002</v>
      </c>
      <c r="K446">
        <v>2017</v>
      </c>
      <c r="L446">
        <v>2022</v>
      </c>
    </row>
    <row r="447" spans="1:12" x14ac:dyDescent="0.5">
      <c r="A447" t="s">
        <v>81</v>
      </c>
      <c r="B447" t="s">
        <v>32</v>
      </c>
      <c r="C447" t="s">
        <v>33</v>
      </c>
      <c r="D447">
        <v>1.6</v>
      </c>
      <c r="E447" t="s">
        <v>117</v>
      </c>
      <c r="F447">
        <v>2.7</v>
      </c>
      <c r="G447">
        <v>8.6999999999999993</v>
      </c>
      <c r="H447">
        <v>1.43</v>
      </c>
      <c r="I447">
        <v>0.5</v>
      </c>
      <c r="J447">
        <f t="shared" si="6"/>
        <v>1.93</v>
      </c>
      <c r="K447">
        <v>2017</v>
      </c>
      <c r="L447">
        <v>2022</v>
      </c>
    </row>
    <row r="448" spans="1:12" x14ac:dyDescent="0.5">
      <c r="A448" t="s">
        <v>81</v>
      </c>
      <c r="B448" t="s">
        <v>32</v>
      </c>
      <c r="C448" t="s">
        <v>33</v>
      </c>
      <c r="D448">
        <v>1.7</v>
      </c>
      <c r="E448" t="s">
        <v>116</v>
      </c>
      <c r="F448">
        <v>4.8</v>
      </c>
      <c r="G448">
        <v>21.8</v>
      </c>
      <c r="H448">
        <v>1.61</v>
      </c>
      <c r="I448">
        <v>0.71</v>
      </c>
      <c r="J448">
        <f t="shared" si="6"/>
        <v>2.3200000000000003</v>
      </c>
      <c r="K448">
        <v>2017</v>
      </c>
      <c r="L448">
        <v>2022</v>
      </c>
    </row>
    <row r="449" spans="1:12" x14ac:dyDescent="0.5">
      <c r="A449" t="s">
        <v>81</v>
      </c>
      <c r="B449" t="s">
        <v>32</v>
      </c>
      <c r="C449" t="s">
        <v>33</v>
      </c>
      <c r="D449">
        <v>1.8</v>
      </c>
      <c r="E449" t="s">
        <v>115</v>
      </c>
      <c r="F449">
        <v>13.6</v>
      </c>
      <c r="G449">
        <v>26.1</v>
      </c>
      <c r="H449">
        <v>3.63</v>
      </c>
      <c r="I449">
        <v>1.18</v>
      </c>
      <c r="J449">
        <f t="shared" si="6"/>
        <v>4.8099999999999996</v>
      </c>
      <c r="K449">
        <v>2017</v>
      </c>
      <c r="L449">
        <v>2022</v>
      </c>
    </row>
    <row r="450" spans="1:12" x14ac:dyDescent="0.5">
      <c r="A450" t="s">
        <v>81</v>
      </c>
      <c r="B450" t="s">
        <v>32</v>
      </c>
      <c r="C450" t="s">
        <v>33</v>
      </c>
      <c r="D450">
        <v>1.9</v>
      </c>
      <c r="E450" t="s">
        <v>114</v>
      </c>
      <c r="F450">
        <v>0</v>
      </c>
      <c r="G450">
        <v>0</v>
      </c>
      <c r="H450">
        <v>1.95</v>
      </c>
      <c r="I450">
        <v>0.39</v>
      </c>
      <c r="J450">
        <f t="shared" si="6"/>
        <v>2.34</v>
      </c>
      <c r="K450">
        <v>2017</v>
      </c>
      <c r="L450">
        <v>2022</v>
      </c>
    </row>
    <row r="451" spans="1:12" x14ac:dyDescent="0.5">
      <c r="A451" t="s">
        <v>81</v>
      </c>
      <c r="B451" t="s">
        <v>32</v>
      </c>
      <c r="C451" t="s">
        <v>33</v>
      </c>
      <c r="D451">
        <v>1.1000000000000001</v>
      </c>
      <c r="E451" t="s">
        <v>113</v>
      </c>
      <c r="F451">
        <v>0</v>
      </c>
      <c r="G451">
        <v>0</v>
      </c>
      <c r="H451">
        <v>1.81</v>
      </c>
      <c r="I451">
        <v>0.77</v>
      </c>
      <c r="J451">
        <f t="shared" ref="J451:J501" si="7">SUM(H451:I451)</f>
        <v>2.58</v>
      </c>
      <c r="K451">
        <v>2017</v>
      </c>
      <c r="L451">
        <v>2022</v>
      </c>
    </row>
    <row r="452" spans="1:12" x14ac:dyDescent="0.5">
      <c r="A452" t="s">
        <v>82</v>
      </c>
      <c r="B452" t="s">
        <v>32</v>
      </c>
      <c r="C452" t="s">
        <v>33</v>
      </c>
      <c r="D452">
        <v>1.1000000000000001</v>
      </c>
      <c r="E452" t="s">
        <v>122</v>
      </c>
      <c r="F452">
        <v>14.8</v>
      </c>
      <c r="G452">
        <v>0</v>
      </c>
      <c r="H452">
        <v>1.24</v>
      </c>
      <c r="I452">
        <v>0.74</v>
      </c>
      <c r="J452">
        <f t="shared" si="7"/>
        <v>1.98</v>
      </c>
      <c r="K452">
        <v>2018</v>
      </c>
      <c r="L452">
        <v>2023</v>
      </c>
    </row>
    <row r="453" spans="1:12" x14ac:dyDescent="0.5">
      <c r="A453" t="s">
        <v>82</v>
      </c>
      <c r="B453" t="s">
        <v>32</v>
      </c>
      <c r="C453" t="s">
        <v>33</v>
      </c>
      <c r="D453">
        <v>1.2</v>
      </c>
      <c r="E453" t="s">
        <v>121</v>
      </c>
      <c r="F453">
        <v>4.9000000000000004</v>
      </c>
      <c r="G453">
        <v>5.0999999999999996</v>
      </c>
      <c r="H453">
        <v>0.78</v>
      </c>
      <c r="I453">
        <v>0.37</v>
      </c>
      <c r="J453">
        <f t="shared" si="7"/>
        <v>1.1499999999999999</v>
      </c>
      <c r="K453">
        <v>2018</v>
      </c>
      <c r="L453">
        <v>2023</v>
      </c>
    </row>
    <row r="454" spans="1:12" x14ac:dyDescent="0.5">
      <c r="A454" t="s">
        <v>82</v>
      </c>
      <c r="B454" t="s">
        <v>32</v>
      </c>
      <c r="C454" t="s">
        <v>33</v>
      </c>
      <c r="D454">
        <v>1.3</v>
      </c>
      <c r="E454" t="s">
        <v>120</v>
      </c>
      <c r="F454">
        <v>9.8000000000000007</v>
      </c>
      <c r="G454">
        <v>76.5</v>
      </c>
      <c r="H454">
        <v>1.55</v>
      </c>
      <c r="I454">
        <v>0.8</v>
      </c>
      <c r="J454">
        <f t="shared" si="7"/>
        <v>2.35</v>
      </c>
      <c r="K454">
        <v>2018</v>
      </c>
      <c r="L454">
        <v>2023</v>
      </c>
    </row>
    <row r="455" spans="1:12" x14ac:dyDescent="0.5">
      <c r="A455" t="s">
        <v>82</v>
      </c>
      <c r="B455" t="s">
        <v>32</v>
      </c>
      <c r="C455" t="s">
        <v>33</v>
      </c>
      <c r="D455">
        <v>1.4</v>
      </c>
      <c r="E455" t="s">
        <v>119</v>
      </c>
      <c r="F455">
        <v>8.1999999999999993</v>
      </c>
      <c r="G455">
        <v>1.7</v>
      </c>
      <c r="H455">
        <v>1.0900000000000001</v>
      </c>
      <c r="I455">
        <v>0.55000000000000004</v>
      </c>
      <c r="J455">
        <f t="shared" si="7"/>
        <v>1.6400000000000001</v>
      </c>
      <c r="K455">
        <v>2018</v>
      </c>
      <c r="L455">
        <v>2023</v>
      </c>
    </row>
    <row r="456" spans="1:12" x14ac:dyDescent="0.5">
      <c r="A456" t="s">
        <v>82</v>
      </c>
      <c r="B456" t="s">
        <v>32</v>
      </c>
      <c r="C456" t="s">
        <v>33</v>
      </c>
      <c r="D456">
        <v>1.5</v>
      </c>
      <c r="E456" t="s">
        <v>118</v>
      </c>
      <c r="F456">
        <v>6.6</v>
      </c>
      <c r="G456">
        <v>8.5</v>
      </c>
      <c r="H456">
        <v>1.4</v>
      </c>
      <c r="I456">
        <v>0.49</v>
      </c>
      <c r="J456">
        <f t="shared" si="7"/>
        <v>1.89</v>
      </c>
      <c r="K456">
        <v>2018</v>
      </c>
      <c r="L456">
        <v>2023</v>
      </c>
    </row>
    <row r="457" spans="1:12" x14ac:dyDescent="0.5">
      <c r="A457" t="s">
        <v>82</v>
      </c>
      <c r="B457" t="s">
        <v>32</v>
      </c>
      <c r="C457" t="s">
        <v>33</v>
      </c>
      <c r="D457">
        <v>1.6</v>
      </c>
      <c r="E457" t="s">
        <v>117</v>
      </c>
      <c r="F457">
        <v>3.3</v>
      </c>
      <c r="G457">
        <v>10.199999999999999</v>
      </c>
      <c r="H457">
        <v>1.24</v>
      </c>
      <c r="I457">
        <v>0.43</v>
      </c>
      <c r="J457">
        <f t="shared" si="7"/>
        <v>1.67</v>
      </c>
      <c r="K457">
        <v>2018</v>
      </c>
      <c r="L457">
        <v>2023</v>
      </c>
    </row>
    <row r="458" spans="1:12" x14ac:dyDescent="0.5">
      <c r="A458" t="s">
        <v>82</v>
      </c>
      <c r="B458" t="s">
        <v>32</v>
      </c>
      <c r="C458" t="s">
        <v>33</v>
      </c>
      <c r="D458">
        <v>1.7</v>
      </c>
      <c r="E458" t="s">
        <v>116</v>
      </c>
      <c r="F458">
        <v>5.7</v>
      </c>
      <c r="G458">
        <v>25.5</v>
      </c>
      <c r="H458">
        <v>1.4</v>
      </c>
      <c r="I458">
        <v>0.62</v>
      </c>
      <c r="J458">
        <f t="shared" si="7"/>
        <v>2.02</v>
      </c>
      <c r="K458">
        <v>2018</v>
      </c>
      <c r="L458">
        <v>2023</v>
      </c>
    </row>
    <row r="459" spans="1:12" x14ac:dyDescent="0.5">
      <c r="A459" t="s">
        <v>82</v>
      </c>
      <c r="B459" t="s">
        <v>32</v>
      </c>
      <c r="C459" t="s">
        <v>33</v>
      </c>
      <c r="D459">
        <v>1.8</v>
      </c>
      <c r="E459" t="s">
        <v>115</v>
      </c>
      <c r="F459">
        <v>16.399999999999999</v>
      </c>
      <c r="G459">
        <v>30.6</v>
      </c>
      <c r="H459">
        <v>3.14</v>
      </c>
      <c r="I459">
        <v>1.02</v>
      </c>
      <c r="J459">
        <f t="shared" si="7"/>
        <v>4.16</v>
      </c>
      <c r="K459">
        <v>2018</v>
      </c>
      <c r="L459">
        <v>2023</v>
      </c>
    </row>
    <row r="460" spans="1:12" x14ac:dyDescent="0.5">
      <c r="A460" t="s">
        <v>82</v>
      </c>
      <c r="B460" t="s">
        <v>32</v>
      </c>
      <c r="C460" t="s">
        <v>33</v>
      </c>
      <c r="D460">
        <v>1.9</v>
      </c>
      <c r="E460" t="s">
        <v>114</v>
      </c>
      <c r="F460">
        <v>0</v>
      </c>
      <c r="G460">
        <v>0</v>
      </c>
      <c r="H460">
        <v>1.7</v>
      </c>
      <c r="I460">
        <v>0.34</v>
      </c>
      <c r="J460">
        <f t="shared" si="7"/>
        <v>2.04</v>
      </c>
      <c r="K460">
        <v>2018</v>
      </c>
      <c r="L460">
        <v>2023</v>
      </c>
    </row>
    <row r="461" spans="1:12" x14ac:dyDescent="0.5">
      <c r="A461" t="s">
        <v>82</v>
      </c>
      <c r="B461" t="s">
        <v>32</v>
      </c>
      <c r="C461" t="s">
        <v>33</v>
      </c>
      <c r="D461">
        <v>1.1000000000000001</v>
      </c>
      <c r="E461" t="s">
        <v>113</v>
      </c>
      <c r="F461">
        <v>0</v>
      </c>
      <c r="G461">
        <v>0</v>
      </c>
      <c r="H461">
        <v>1.54</v>
      </c>
      <c r="I461">
        <v>0.67</v>
      </c>
      <c r="J461">
        <f t="shared" si="7"/>
        <v>2.21</v>
      </c>
      <c r="K461">
        <v>2018</v>
      </c>
      <c r="L461">
        <v>2023</v>
      </c>
    </row>
    <row r="462" spans="1:12" x14ac:dyDescent="0.5">
      <c r="A462" t="s">
        <v>83</v>
      </c>
      <c r="B462" t="s">
        <v>32</v>
      </c>
      <c r="C462" t="s">
        <v>33</v>
      </c>
      <c r="D462">
        <v>1.1000000000000001</v>
      </c>
      <c r="E462" t="s">
        <v>122</v>
      </c>
      <c r="F462">
        <v>17.600000000000001</v>
      </c>
      <c r="G462">
        <v>0</v>
      </c>
      <c r="H462">
        <v>1.58</v>
      </c>
      <c r="I462">
        <v>0.94</v>
      </c>
      <c r="J462">
        <f t="shared" si="7"/>
        <v>2.52</v>
      </c>
      <c r="K462">
        <v>2019</v>
      </c>
      <c r="L462">
        <v>2024</v>
      </c>
    </row>
    <row r="463" spans="1:12" x14ac:dyDescent="0.5">
      <c r="A463" t="s">
        <v>83</v>
      </c>
      <c r="B463" t="s">
        <v>32</v>
      </c>
      <c r="C463" t="s">
        <v>33</v>
      </c>
      <c r="D463">
        <v>1.2</v>
      </c>
      <c r="E463" t="s">
        <v>121</v>
      </c>
      <c r="F463">
        <v>5.9</v>
      </c>
      <c r="G463">
        <v>6</v>
      </c>
      <c r="H463">
        <v>0.99</v>
      </c>
      <c r="I463">
        <v>0.47</v>
      </c>
      <c r="J463">
        <f t="shared" si="7"/>
        <v>1.46</v>
      </c>
      <c r="K463">
        <v>2019</v>
      </c>
      <c r="L463">
        <v>2024</v>
      </c>
    </row>
    <row r="464" spans="1:12" x14ac:dyDescent="0.5">
      <c r="A464" t="s">
        <v>83</v>
      </c>
      <c r="B464" t="s">
        <v>32</v>
      </c>
      <c r="C464" t="s">
        <v>33</v>
      </c>
      <c r="D464">
        <v>1.3</v>
      </c>
      <c r="E464" t="s">
        <v>120</v>
      </c>
      <c r="F464">
        <v>11.8</v>
      </c>
      <c r="G464">
        <v>90</v>
      </c>
      <c r="H464">
        <v>1.97</v>
      </c>
      <c r="I464">
        <v>1.02</v>
      </c>
      <c r="J464">
        <f t="shared" si="7"/>
        <v>2.99</v>
      </c>
      <c r="K464">
        <v>2019</v>
      </c>
      <c r="L464">
        <v>2024</v>
      </c>
    </row>
    <row r="465" spans="1:12" x14ac:dyDescent="0.5">
      <c r="A465" t="s">
        <v>83</v>
      </c>
      <c r="B465" t="s">
        <v>32</v>
      </c>
      <c r="C465" t="s">
        <v>33</v>
      </c>
      <c r="D465">
        <v>1.4</v>
      </c>
      <c r="E465" t="s">
        <v>119</v>
      </c>
      <c r="F465">
        <v>9.8000000000000007</v>
      </c>
      <c r="G465">
        <v>2</v>
      </c>
      <c r="H465">
        <v>1.38</v>
      </c>
      <c r="I465">
        <v>0.71</v>
      </c>
      <c r="J465">
        <f t="shared" si="7"/>
        <v>2.09</v>
      </c>
      <c r="K465">
        <v>2019</v>
      </c>
      <c r="L465">
        <v>2024</v>
      </c>
    </row>
    <row r="466" spans="1:12" x14ac:dyDescent="0.5">
      <c r="A466" t="s">
        <v>83</v>
      </c>
      <c r="B466" t="s">
        <v>32</v>
      </c>
      <c r="C466" t="s">
        <v>33</v>
      </c>
      <c r="D466">
        <v>1.5</v>
      </c>
      <c r="E466" t="s">
        <v>118</v>
      </c>
      <c r="F466">
        <v>7.8</v>
      </c>
      <c r="G466">
        <v>10</v>
      </c>
      <c r="H466">
        <v>1.77</v>
      </c>
      <c r="I466">
        <v>0.63</v>
      </c>
      <c r="J466">
        <f t="shared" si="7"/>
        <v>2.4</v>
      </c>
      <c r="K466">
        <v>2019</v>
      </c>
      <c r="L466">
        <v>2024</v>
      </c>
    </row>
    <row r="467" spans="1:12" x14ac:dyDescent="0.5">
      <c r="A467" t="s">
        <v>83</v>
      </c>
      <c r="B467" t="s">
        <v>32</v>
      </c>
      <c r="C467" t="s">
        <v>33</v>
      </c>
      <c r="D467">
        <v>1.6</v>
      </c>
      <c r="E467" t="s">
        <v>117</v>
      </c>
      <c r="F467">
        <v>3.9</v>
      </c>
      <c r="G467">
        <v>12</v>
      </c>
      <c r="H467">
        <v>1.58</v>
      </c>
      <c r="I467">
        <v>0.55000000000000004</v>
      </c>
      <c r="J467">
        <f t="shared" si="7"/>
        <v>2.13</v>
      </c>
      <c r="K467">
        <v>2019</v>
      </c>
      <c r="L467">
        <v>2024</v>
      </c>
    </row>
    <row r="468" spans="1:12" x14ac:dyDescent="0.5">
      <c r="A468" t="s">
        <v>83</v>
      </c>
      <c r="B468" t="s">
        <v>32</v>
      </c>
      <c r="C468" t="s">
        <v>33</v>
      </c>
      <c r="D468">
        <v>1.7</v>
      </c>
      <c r="E468" t="s">
        <v>116</v>
      </c>
      <c r="F468">
        <v>6.9</v>
      </c>
      <c r="G468">
        <v>30</v>
      </c>
      <c r="H468">
        <v>1.77</v>
      </c>
      <c r="I468">
        <v>0.78</v>
      </c>
      <c r="J468">
        <f t="shared" si="7"/>
        <v>2.5499999999999998</v>
      </c>
      <c r="K468">
        <v>2019</v>
      </c>
      <c r="L468">
        <v>2024</v>
      </c>
    </row>
    <row r="469" spans="1:12" x14ac:dyDescent="0.5">
      <c r="A469" t="s">
        <v>83</v>
      </c>
      <c r="B469" t="s">
        <v>32</v>
      </c>
      <c r="C469" t="s">
        <v>33</v>
      </c>
      <c r="D469">
        <v>1.8</v>
      </c>
      <c r="E469" t="s">
        <v>115</v>
      </c>
      <c r="F469">
        <v>19.600000000000001</v>
      </c>
      <c r="G469">
        <v>36</v>
      </c>
      <c r="H469">
        <v>4.16</v>
      </c>
      <c r="I469">
        <v>1.35</v>
      </c>
      <c r="J469">
        <f t="shared" si="7"/>
        <v>5.51</v>
      </c>
      <c r="K469">
        <v>2019</v>
      </c>
      <c r="L469">
        <v>2024</v>
      </c>
    </row>
    <row r="470" spans="1:12" x14ac:dyDescent="0.5">
      <c r="A470" t="s">
        <v>83</v>
      </c>
      <c r="B470" t="s">
        <v>32</v>
      </c>
      <c r="C470" t="s">
        <v>33</v>
      </c>
      <c r="D470">
        <v>1.9</v>
      </c>
      <c r="E470" t="s">
        <v>114</v>
      </c>
      <c r="F470">
        <v>0</v>
      </c>
      <c r="G470">
        <v>0</v>
      </c>
      <c r="H470">
        <v>2.17</v>
      </c>
      <c r="I470">
        <v>0.43</v>
      </c>
      <c r="J470">
        <f t="shared" si="7"/>
        <v>2.6</v>
      </c>
      <c r="K470">
        <v>2019</v>
      </c>
      <c r="L470">
        <v>2024</v>
      </c>
    </row>
    <row r="471" spans="1:12" x14ac:dyDescent="0.5">
      <c r="A471" t="s">
        <v>83</v>
      </c>
      <c r="B471" t="s">
        <v>32</v>
      </c>
      <c r="C471" t="s">
        <v>33</v>
      </c>
      <c r="D471">
        <v>1.1000000000000001</v>
      </c>
      <c r="E471" t="s">
        <v>113</v>
      </c>
      <c r="F471">
        <v>0</v>
      </c>
      <c r="G471">
        <v>0</v>
      </c>
      <c r="H471">
        <v>1.97</v>
      </c>
      <c r="I471">
        <v>0.86</v>
      </c>
      <c r="J471">
        <f t="shared" si="7"/>
        <v>2.83</v>
      </c>
      <c r="K471">
        <v>2019</v>
      </c>
      <c r="L471">
        <v>2024</v>
      </c>
    </row>
    <row r="472" spans="1:12" x14ac:dyDescent="0.5">
      <c r="A472" t="s">
        <v>84</v>
      </c>
      <c r="B472" t="s">
        <v>56</v>
      </c>
      <c r="C472" t="s">
        <v>85</v>
      </c>
      <c r="D472">
        <v>1.1000000000000001</v>
      </c>
      <c r="E472" t="s">
        <v>122</v>
      </c>
      <c r="F472">
        <v>104.4</v>
      </c>
      <c r="G472">
        <v>0</v>
      </c>
      <c r="H472">
        <v>8.83</v>
      </c>
      <c r="I472">
        <v>5.34</v>
      </c>
      <c r="J472">
        <f t="shared" si="7"/>
        <v>14.17</v>
      </c>
      <c r="K472">
        <v>2003</v>
      </c>
      <c r="L472">
        <v>2009</v>
      </c>
    </row>
    <row r="473" spans="1:12" x14ac:dyDescent="0.5">
      <c r="A473" t="s">
        <v>84</v>
      </c>
      <c r="B473" t="s">
        <v>56</v>
      </c>
      <c r="C473" t="s">
        <v>85</v>
      </c>
      <c r="D473">
        <v>1.2</v>
      </c>
      <c r="E473" t="s">
        <v>121</v>
      </c>
      <c r="F473">
        <v>34.799999999999997</v>
      </c>
      <c r="G473">
        <v>24.6</v>
      </c>
      <c r="H473">
        <v>5.52</v>
      </c>
      <c r="I473">
        <v>2.67</v>
      </c>
      <c r="J473">
        <f t="shared" si="7"/>
        <v>8.19</v>
      </c>
      <c r="K473">
        <v>2003</v>
      </c>
      <c r="L473">
        <v>2009</v>
      </c>
    </row>
    <row r="474" spans="1:12" x14ac:dyDescent="0.5">
      <c r="A474" t="s">
        <v>84</v>
      </c>
      <c r="B474" t="s">
        <v>56</v>
      </c>
      <c r="C474" t="s">
        <v>85</v>
      </c>
      <c r="D474">
        <v>1.3</v>
      </c>
      <c r="E474" t="s">
        <v>120</v>
      </c>
      <c r="F474">
        <v>69.599999999999994</v>
      </c>
      <c r="G474">
        <v>369</v>
      </c>
      <c r="H474">
        <v>11.04</v>
      </c>
      <c r="I474">
        <v>5.79</v>
      </c>
      <c r="J474">
        <f t="shared" si="7"/>
        <v>16.829999999999998</v>
      </c>
      <c r="K474">
        <v>2003</v>
      </c>
      <c r="L474">
        <v>2009</v>
      </c>
    </row>
    <row r="475" spans="1:12" x14ac:dyDescent="0.5">
      <c r="A475" t="s">
        <v>84</v>
      </c>
      <c r="B475" t="s">
        <v>56</v>
      </c>
      <c r="C475" t="s">
        <v>85</v>
      </c>
      <c r="D475">
        <v>1.4</v>
      </c>
      <c r="E475" t="s">
        <v>119</v>
      </c>
      <c r="F475">
        <v>58</v>
      </c>
      <c r="G475">
        <v>8.1999999999999993</v>
      </c>
      <c r="H475">
        <v>7.72</v>
      </c>
      <c r="I475">
        <v>4.01</v>
      </c>
      <c r="J475">
        <f t="shared" si="7"/>
        <v>11.73</v>
      </c>
      <c r="K475">
        <v>2003</v>
      </c>
      <c r="L475">
        <v>2009</v>
      </c>
    </row>
    <row r="476" spans="1:12" x14ac:dyDescent="0.5">
      <c r="A476" t="s">
        <v>84</v>
      </c>
      <c r="B476" t="s">
        <v>56</v>
      </c>
      <c r="C476" t="s">
        <v>85</v>
      </c>
      <c r="D476">
        <v>1.5</v>
      </c>
      <c r="E476" t="s">
        <v>118</v>
      </c>
      <c r="F476">
        <v>46.4</v>
      </c>
      <c r="G476">
        <v>41</v>
      </c>
      <c r="H476">
        <v>9.93</v>
      </c>
      <c r="I476">
        <v>3.56</v>
      </c>
      <c r="J476">
        <f t="shared" si="7"/>
        <v>13.49</v>
      </c>
      <c r="K476">
        <v>2003</v>
      </c>
      <c r="L476">
        <v>2009</v>
      </c>
    </row>
    <row r="477" spans="1:12" x14ac:dyDescent="0.5">
      <c r="A477" t="s">
        <v>84</v>
      </c>
      <c r="B477" t="s">
        <v>56</v>
      </c>
      <c r="C477" t="s">
        <v>85</v>
      </c>
      <c r="D477">
        <v>1.6</v>
      </c>
      <c r="E477" t="s">
        <v>117</v>
      </c>
      <c r="F477">
        <v>23.2</v>
      </c>
      <c r="G477">
        <v>49.2</v>
      </c>
      <c r="H477">
        <v>8.83</v>
      </c>
      <c r="I477">
        <v>3.12</v>
      </c>
      <c r="J477">
        <f t="shared" si="7"/>
        <v>11.95</v>
      </c>
      <c r="K477">
        <v>2003</v>
      </c>
      <c r="L477">
        <v>2009</v>
      </c>
    </row>
    <row r="478" spans="1:12" x14ac:dyDescent="0.5">
      <c r="A478" t="s">
        <v>84</v>
      </c>
      <c r="B478" t="s">
        <v>56</v>
      </c>
      <c r="C478" t="s">
        <v>85</v>
      </c>
      <c r="D478">
        <v>1.7</v>
      </c>
      <c r="E478" t="s">
        <v>116</v>
      </c>
      <c r="F478">
        <v>40.6</v>
      </c>
      <c r="G478">
        <v>123</v>
      </c>
      <c r="H478">
        <v>9.93</v>
      </c>
      <c r="I478">
        <v>4.45</v>
      </c>
      <c r="J478">
        <f t="shared" si="7"/>
        <v>14.379999999999999</v>
      </c>
      <c r="K478">
        <v>2003</v>
      </c>
      <c r="L478">
        <v>2009</v>
      </c>
    </row>
    <row r="479" spans="1:12" x14ac:dyDescent="0.5">
      <c r="A479" t="s">
        <v>84</v>
      </c>
      <c r="B479" t="s">
        <v>56</v>
      </c>
      <c r="C479" t="s">
        <v>85</v>
      </c>
      <c r="D479">
        <v>1.8</v>
      </c>
      <c r="E479" t="s">
        <v>115</v>
      </c>
      <c r="F479">
        <v>116</v>
      </c>
      <c r="G479">
        <v>147.6</v>
      </c>
      <c r="H479">
        <v>27.19</v>
      </c>
      <c r="I479">
        <v>8.98</v>
      </c>
      <c r="J479">
        <f t="shared" si="7"/>
        <v>36.17</v>
      </c>
      <c r="K479">
        <v>2003</v>
      </c>
      <c r="L479">
        <v>2009</v>
      </c>
    </row>
    <row r="480" spans="1:12" x14ac:dyDescent="0.5">
      <c r="A480" t="s">
        <v>84</v>
      </c>
      <c r="B480" t="s">
        <v>56</v>
      </c>
      <c r="C480" t="s">
        <v>85</v>
      </c>
      <c r="D480">
        <v>1.9</v>
      </c>
      <c r="E480" t="s">
        <v>114</v>
      </c>
      <c r="F480">
        <v>0</v>
      </c>
      <c r="G480">
        <v>0</v>
      </c>
      <c r="H480">
        <v>14.2</v>
      </c>
      <c r="I480">
        <v>2.86</v>
      </c>
      <c r="J480">
        <f t="shared" si="7"/>
        <v>17.059999999999999</v>
      </c>
      <c r="K480">
        <v>2003</v>
      </c>
      <c r="L480">
        <v>2009</v>
      </c>
    </row>
    <row r="481" spans="1:12" x14ac:dyDescent="0.5">
      <c r="A481" t="s">
        <v>84</v>
      </c>
      <c r="B481" t="s">
        <v>56</v>
      </c>
      <c r="C481" t="s">
        <v>85</v>
      </c>
      <c r="D481">
        <v>1.1000000000000001</v>
      </c>
      <c r="E481" t="s">
        <v>113</v>
      </c>
      <c r="F481">
        <v>0</v>
      </c>
      <c r="G481">
        <v>0</v>
      </c>
      <c r="H481">
        <v>11.03</v>
      </c>
      <c r="I481">
        <v>4.91</v>
      </c>
      <c r="J481">
        <f t="shared" si="7"/>
        <v>15.94</v>
      </c>
      <c r="K481">
        <v>2003</v>
      </c>
      <c r="L481">
        <v>2009</v>
      </c>
    </row>
    <row r="482" spans="1:12" x14ac:dyDescent="0.5">
      <c r="A482" t="s">
        <v>86</v>
      </c>
      <c r="B482" t="s">
        <v>56</v>
      </c>
      <c r="C482" t="s">
        <v>85</v>
      </c>
      <c r="D482">
        <v>1.1000000000000001</v>
      </c>
      <c r="E482" t="s">
        <v>122</v>
      </c>
      <c r="F482">
        <v>129.6</v>
      </c>
      <c r="G482">
        <v>0</v>
      </c>
      <c r="H482">
        <v>11.21</v>
      </c>
      <c r="I482">
        <v>6.81</v>
      </c>
      <c r="J482">
        <f t="shared" si="7"/>
        <v>18.02</v>
      </c>
      <c r="K482">
        <v>2007</v>
      </c>
      <c r="L482">
        <v>2013</v>
      </c>
    </row>
    <row r="483" spans="1:12" x14ac:dyDescent="0.5">
      <c r="A483" t="s">
        <v>86</v>
      </c>
      <c r="B483" t="s">
        <v>56</v>
      </c>
      <c r="C483" t="s">
        <v>85</v>
      </c>
      <c r="D483">
        <v>1.2</v>
      </c>
      <c r="E483" t="s">
        <v>121</v>
      </c>
      <c r="F483">
        <v>43.2</v>
      </c>
      <c r="G483">
        <v>30.6</v>
      </c>
      <c r="H483">
        <v>7.01</v>
      </c>
      <c r="I483">
        <v>3.4</v>
      </c>
      <c r="J483">
        <f t="shared" si="7"/>
        <v>10.41</v>
      </c>
      <c r="K483">
        <v>2007</v>
      </c>
      <c r="L483">
        <v>2013</v>
      </c>
    </row>
    <row r="484" spans="1:12" x14ac:dyDescent="0.5">
      <c r="A484" t="s">
        <v>86</v>
      </c>
      <c r="B484" t="s">
        <v>56</v>
      </c>
      <c r="C484" t="s">
        <v>85</v>
      </c>
      <c r="D484">
        <v>1.3</v>
      </c>
      <c r="E484" t="s">
        <v>120</v>
      </c>
      <c r="F484">
        <v>86.4</v>
      </c>
      <c r="G484">
        <v>459</v>
      </c>
      <c r="H484">
        <v>14.01</v>
      </c>
      <c r="I484">
        <v>7.38</v>
      </c>
      <c r="J484">
        <f t="shared" si="7"/>
        <v>21.39</v>
      </c>
      <c r="K484">
        <v>2007</v>
      </c>
      <c r="L484">
        <v>2013</v>
      </c>
    </row>
    <row r="485" spans="1:12" x14ac:dyDescent="0.5">
      <c r="A485" t="s">
        <v>86</v>
      </c>
      <c r="B485" t="s">
        <v>56</v>
      </c>
      <c r="C485" t="s">
        <v>85</v>
      </c>
      <c r="D485">
        <v>1.4</v>
      </c>
      <c r="E485" t="s">
        <v>119</v>
      </c>
      <c r="F485">
        <v>72</v>
      </c>
      <c r="G485">
        <v>10.199999999999999</v>
      </c>
      <c r="H485">
        <v>9.81</v>
      </c>
      <c r="I485">
        <v>5.1100000000000003</v>
      </c>
      <c r="J485">
        <f t="shared" si="7"/>
        <v>14.920000000000002</v>
      </c>
      <c r="K485">
        <v>2007</v>
      </c>
      <c r="L485">
        <v>2013</v>
      </c>
    </row>
    <row r="486" spans="1:12" x14ac:dyDescent="0.5">
      <c r="A486" t="s">
        <v>86</v>
      </c>
      <c r="B486" t="s">
        <v>56</v>
      </c>
      <c r="C486" t="s">
        <v>85</v>
      </c>
      <c r="D486">
        <v>1.5</v>
      </c>
      <c r="E486" t="s">
        <v>118</v>
      </c>
      <c r="F486">
        <v>57.6</v>
      </c>
      <c r="G486">
        <v>51</v>
      </c>
      <c r="H486">
        <v>12.61</v>
      </c>
      <c r="I486">
        <v>4.54</v>
      </c>
      <c r="J486">
        <f t="shared" si="7"/>
        <v>17.149999999999999</v>
      </c>
      <c r="K486">
        <v>2007</v>
      </c>
      <c r="L486">
        <v>2013</v>
      </c>
    </row>
    <row r="487" spans="1:12" x14ac:dyDescent="0.5">
      <c r="A487" t="s">
        <v>86</v>
      </c>
      <c r="B487" t="s">
        <v>56</v>
      </c>
      <c r="C487" t="s">
        <v>85</v>
      </c>
      <c r="D487">
        <v>1.6</v>
      </c>
      <c r="E487" t="s">
        <v>117</v>
      </c>
      <c r="F487">
        <v>28.8</v>
      </c>
      <c r="G487">
        <v>61.2</v>
      </c>
      <c r="H487">
        <v>11.21</v>
      </c>
      <c r="I487">
        <v>3.97</v>
      </c>
      <c r="J487">
        <f t="shared" si="7"/>
        <v>15.180000000000001</v>
      </c>
      <c r="K487">
        <v>2007</v>
      </c>
      <c r="L487">
        <v>2013</v>
      </c>
    </row>
    <row r="488" spans="1:12" x14ac:dyDescent="0.5">
      <c r="A488" t="s">
        <v>86</v>
      </c>
      <c r="B488" t="s">
        <v>56</v>
      </c>
      <c r="C488" t="s">
        <v>85</v>
      </c>
      <c r="D488">
        <v>1.7</v>
      </c>
      <c r="E488" t="s">
        <v>116</v>
      </c>
      <c r="F488">
        <v>50.4</v>
      </c>
      <c r="G488">
        <v>153</v>
      </c>
      <c r="H488">
        <v>12.61</v>
      </c>
      <c r="I488">
        <v>5.67</v>
      </c>
      <c r="J488">
        <f t="shared" si="7"/>
        <v>18.28</v>
      </c>
      <c r="K488">
        <v>2007</v>
      </c>
      <c r="L488">
        <v>2013</v>
      </c>
    </row>
    <row r="489" spans="1:12" x14ac:dyDescent="0.5">
      <c r="A489" t="s">
        <v>86</v>
      </c>
      <c r="B489" t="s">
        <v>56</v>
      </c>
      <c r="C489" t="s">
        <v>85</v>
      </c>
      <c r="D489">
        <v>1.8</v>
      </c>
      <c r="E489" t="s">
        <v>115</v>
      </c>
      <c r="F489">
        <v>144</v>
      </c>
      <c r="G489">
        <v>183.6</v>
      </c>
      <c r="H489">
        <v>35.76</v>
      </c>
      <c r="I489">
        <v>11.85</v>
      </c>
      <c r="J489">
        <f t="shared" si="7"/>
        <v>47.61</v>
      </c>
      <c r="K489">
        <v>2007</v>
      </c>
      <c r="L489">
        <v>2013</v>
      </c>
    </row>
    <row r="490" spans="1:12" x14ac:dyDescent="0.5">
      <c r="A490" t="s">
        <v>86</v>
      </c>
      <c r="B490" t="s">
        <v>56</v>
      </c>
      <c r="C490" t="s">
        <v>85</v>
      </c>
      <c r="D490">
        <v>1.9</v>
      </c>
      <c r="E490" t="s">
        <v>114</v>
      </c>
      <c r="F490">
        <v>0</v>
      </c>
      <c r="G490">
        <v>0</v>
      </c>
      <c r="H490">
        <v>18.57</v>
      </c>
      <c r="I490">
        <v>3.76</v>
      </c>
      <c r="J490">
        <f t="shared" si="7"/>
        <v>22.33</v>
      </c>
      <c r="K490">
        <v>2007</v>
      </c>
      <c r="L490">
        <v>2013</v>
      </c>
    </row>
    <row r="491" spans="1:12" x14ac:dyDescent="0.5">
      <c r="A491" t="s">
        <v>86</v>
      </c>
      <c r="B491" t="s">
        <v>56</v>
      </c>
      <c r="C491" t="s">
        <v>85</v>
      </c>
      <c r="D491">
        <v>1.1000000000000001</v>
      </c>
      <c r="E491" t="s">
        <v>113</v>
      </c>
      <c r="F491">
        <v>0</v>
      </c>
      <c r="G491">
        <v>0</v>
      </c>
      <c r="H491">
        <v>14.02</v>
      </c>
      <c r="I491">
        <v>6.24</v>
      </c>
      <c r="J491">
        <f t="shared" si="7"/>
        <v>20.259999999999998</v>
      </c>
      <c r="K491">
        <v>2007</v>
      </c>
      <c r="L491">
        <v>2013</v>
      </c>
    </row>
    <row r="492" spans="1:12" x14ac:dyDescent="0.5">
      <c r="A492" t="s">
        <v>87</v>
      </c>
      <c r="B492" t="s">
        <v>56</v>
      </c>
      <c r="C492" t="s">
        <v>85</v>
      </c>
      <c r="D492">
        <v>1.1000000000000001</v>
      </c>
      <c r="E492" t="s">
        <v>122</v>
      </c>
      <c r="F492">
        <v>160.19999999999999</v>
      </c>
      <c r="G492">
        <v>0</v>
      </c>
      <c r="H492">
        <v>10.39</v>
      </c>
      <c r="I492">
        <v>6.33</v>
      </c>
      <c r="J492">
        <f t="shared" si="7"/>
        <v>16.72</v>
      </c>
      <c r="K492">
        <v>2012</v>
      </c>
      <c r="L492">
        <v>2018</v>
      </c>
    </row>
    <row r="493" spans="1:12" x14ac:dyDescent="0.5">
      <c r="A493" t="s">
        <v>87</v>
      </c>
      <c r="B493" t="s">
        <v>56</v>
      </c>
      <c r="C493" t="s">
        <v>85</v>
      </c>
      <c r="D493">
        <v>1.2</v>
      </c>
      <c r="E493" t="s">
        <v>121</v>
      </c>
      <c r="F493">
        <v>53.4</v>
      </c>
      <c r="G493">
        <v>37.5</v>
      </c>
      <c r="H493">
        <v>6.49</v>
      </c>
      <c r="I493">
        <v>3.16</v>
      </c>
      <c r="J493">
        <f t="shared" si="7"/>
        <v>9.65</v>
      </c>
      <c r="K493">
        <v>2012</v>
      </c>
      <c r="L493">
        <v>2018</v>
      </c>
    </row>
    <row r="494" spans="1:12" x14ac:dyDescent="0.5">
      <c r="A494" t="s">
        <v>87</v>
      </c>
      <c r="B494" t="s">
        <v>56</v>
      </c>
      <c r="C494" t="s">
        <v>85</v>
      </c>
      <c r="D494">
        <v>1.3</v>
      </c>
      <c r="E494" t="s">
        <v>120</v>
      </c>
      <c r="F494">
        <v>106.8</v>
      </c>
      <c r="G494">
        <v>562.5</v>
      </c>
      <c r="H494">
        <v>12.98</v>
      </c>
      <c r="I494">
        <v>6.86</v>
      </c>
      <c r="J494">
        <f t="shared" si="7"/>
        <v>19.84</v>
      </c>
      <c r="K494">
        <v>2012</v>
      </c>
      <c r="L494">
        <v>2018</v>
      </c>
    </row>
    <row r="495" spans="1:12" x14ac:dyDescent="0.5">
      <c r="A495" t="s">
        <v>87</v>
      </c>
      <c r="B495" t="s">
        <v>56</v>
      </c>
      <c r="C495" t="s">
        <v>85</v>
      </c>
      <c r="D495">
        <v>1.4</v>
      </c>
      <c r="E495" t="s">
        <v>119</v>
      </c>
      <c r="F495">
        <v>89</v>
      </c>
      <c r="G495">
        <v>12.5</v>
      </c>
      <c r="H495">
        <v>9.09</v>
      </c>
      <c r="I495">
        <v>4.75</v>
      </c>
      <c r="J495">
        <f t="shared" si="7"/>
        <v>13.84</v>
      </c>
      <c r="K495">
        <v>2012</v>
      </c>
      <c r="L495">
        <v>2018</v>
      </c>
    </row>
    <row r="496" spans="1:12" x14ac:dyDescent="0.5">
      <c r="A496" t="s">
        <v>87</v>
      </c>
      <c r="B496" t="s">
        <v>56</v>
      </c>
      <c r="C496" t="s">
        <v>85</v>
      </c>
      <c r="D496">
        <v>1.5</v>
      </c>
      <c r="E496" t="s">
        <v>118</v>
      </c>
      <c r="F496">
        <v>71.2</v>
      </c>
      <c r="G496">
        <v>62.5</v>
      </c>
      <c r="H496">
        <v>11.68</v>
      </c>
      <c r="I496">
        <v>4.22</v>
      </c>
      <c r="J496">
        <f t="shared" si="7"/>
        <v>15.899999999999999</v>
      </c>
      <c r="K496">
        <v>2012</v>
      </c>
      <c r="L496">
        <v>2018</v>
      </c>
    </row>
    <row r="497" spans="1:12" x14ac:dyDescent="0.5">
      <c r="A497" t="s">
        <v>87</v>
      </c>
      <c r="B497" t="s">
        <v>56</v>
      </c>
      <c r="C497" t="s">
        <v>85</v>
      </c>
      <c r="D497">
        <v>1.6</v>
      </c>
      <c r="E497" t="s">
        <v>117</v>
      </c>
      <c r="F497">
        <v>35.6</v>
      </c>
      <c r="G497">
        <v>75</v>
      </c>
      <c r="H497">
        <v>10.39</v>
      </c>
      <c r="I497">
        <v>3.69</v>
      </c>
      <c r="J497">
        <f t="shared" si="7"/>
        <v>14.08</v>
      </c>
      <c r="K497">
        <v>2012</v>
      </c>
      <c r="L497">
        <v>2018</v>
      </c>
    </row>
    <row r="498" spans="1:12" x14ac:dyDescent="0.5">
      <c r="A498" t="s">
        <v>87</v>
      </c>
      <c r="B498" t="s">
        <v>56</v>
      </c>
      <c r="C498" t="s">
        <v>85</v>
      </c>
      <c r="D498">
        <v>1.7</v>
      </c>
      <c r="E498" t="s">
        <v>116</v>
      </c>
      <c r="F498">
        <v>62.3</v>
      </c>
      <c r="G498">
        <v>187.5</v>
      </c>
      <c r="H498">
        <v>11.68</v>
      </c>
      <c r="I498">
        <v>5.27</v>
      </c>
      <c r="J498">
        <f t="shared" si="7"/>
        <v>16.95</v>
      </c>
      <c r="K498">
        <v>2012</v>
      </c>
      <c r="L498">
        <v>2018</v>
      </c>
    </row>
    <row r="499" spans="1:12" x14ac:dyDescent="0.5">
      <c r="A499" t="s">
        <v>87</v>
      </c>
      <c r="B499" t="s">
        <v>56</v>
      </c>
      <c r="C499" t="s">
        <v>85</v>
      </c>
      <c r="D499">
        <v>1.8</v>
      </c>
      <c r="E499" t="s">
        <v>115</v>
      </c>
      <c r="F499">
        <v>178</v>
      </c>
      <c r="G499">
        <v>225</v>
      </c>
      <c r="H499">
        <v>34.270000000000003</v>
      </c>
      <c r="I499">
        <v>11.39</v>
      </c>
      <c r="J499">
        <f t="shared" si="7"/>
        <v>45.660000000000004</v>
      </c>
      <c r="K499">
        <v>2012</v>
      </c>
      <c r="L499">
        <v>2018</v>
      </c>
    </row>
    <row r="500" spans="1:12" x14ac:dyDescent="0.5">
      <c r="A500" t="s">
        <v>87</v>
      </c>
      <c r="B500" t="s">
        <v>56</v>
      </c>
      <c r="C500" t="s">
        <v>85</v>
      </c>
      <c r="D500">
        <v>1.9</v>
      </c>
      <c r="E500" t="s">
        <v>114</v>
      </c>
      <c r="F500">
        <v>0</v>
      </c>
      <c r="G500">
        <v>0</v>
      </c>
      <c r="H500">
        <v>17.7</v>
      </c>
      <c r="I500">
        <v>3.59</v>
      </c>
      <c r="J500">
        <f t="shared" si="7"/>
        <v>21.29</v>
      </c>
      <c r="K500">
        <v>2012</v>
      </c>
      <c r="L500">
        <v>2018</v>
      </c>
    </row>
    <row r="501" spans="1:12" x14ac:dyDescent="0.5">
      <c r="A501" t="s">
        <v>87</v>
      </c>
      <c r="B501" t="s">
        <v>56</v>
      </c>
      <c r="C501" t="s">
        <v>85</v>
      </c>
      <c r="D501">
        <v>1.1000000000000001</v>
      </c>
      <c r="E501" t="s">
        <v>113</v>
      </c>
      <c r="F501">
        <v>0</v>
      </c>
      <c r="G501">
        <v>0</v>
      </c>
      <c r="H501">
        <v>12.98</v>
      </c>
      <c r="I501">
        <v>5.8</v>
      </c>
      <c r="J501">
        <f t="shared" si="7"/>
        <v>18.78</v>
      </c>
      <c r="K501">
        <v>2012</v>
      </c>
      <c r="L501">
        <v>2018</v>
      </c>
    </row>
  </sheetData>
  <autoFilter ref="A1:L1" xr:uid="{4748BC93-B7E1-429A-89C2-BAB28269ABD9}"/>
  <pageMargins left="0.7" right="0.7" top="0.75" bottom="0.75" header="0.3" footer="0.3"/>
  <ignoredErrors>
    <ignoredError sqref="J2:J50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985F-3106-464B-9C8A-478FFDF085E0}">
  <dimension ref="B4:C7"/>
  <sheetViews>
    <sheetView workbookViewId="0">
      <selection activeCell="B10" sqref="B10"/>
    </sheetView>
  </sheetViews>
  <sheetFormatPr defaultRowHeight="14.35" x14ac:dyDescent="0.5"/>
  <cols>
    <col min="2" max="2" width="16.5859375" style="1" bestFit="1" customWidth="1"/>
    <col min="3" max="3" width="8.9375" style="1"/>
  </cols>
  <sheetData>
    <row r="4" spans="2:3" x14ac:dyDescent="0.5">
      <c r="B4" s="3" t="s">
        <v>132</v>
      </c>
      <c r="C4" s="3" t="s">
        <v>133</v>
      </c>
    </row>
    <row r="5" spans="2:3" x14ac:dyDescent="0.5">
      <c r="B5" s="2" t="s">
        <v>131</v>
      </c>
      <c r="C5" s="2" t="b" cm="1">
        <f t="array" ref="C5">_xlfn.UNIQUE(_xlfn._xlws.FILTER(satellite_programs!V:V,(satellite_programs!V:V&lt;&gt;satellite_programs!$V$1)*(satellite_programs!V:V&lt;&gt;"")))</f>
        <v>1</v>
      </c>
    </row>
    <row r="6" spans="2:3" x14ac:dyDescent="0.5">
      <c r="B6" s="2" t="s">
        <v>135</v>
      </c>
      <c r="C6" s="2" t="b" cm="1">
        <f t="array" ref="C6">_xlfn.UNIQUE(_xlfn._xlws.FILTER(satellite_programs!W:W,(satellite_programs!W:W&lt;&gt;satellite_programs!$W$1)*(satellite_programs!W:W&lt;&gt;"")))</f>
        <v>1</v>
      </c>
    </row>
    <row r="7" spans="2:3" x14ac:dyDescent="0.5">
      <c r="B7" s="2" t="s">
        <v>137</v>
      </c>
      <c r="C7" s="2" t="b" cm="1">
        <f t="array" ref="C7">_xlfn.UNIQUE(_xlfn._xlws.FILTER(satellite_programs!X:X,(satellite_programs!X:X&lt;&gt;satellite_programs!$X$1)*(satellite_programs!X:X&lt;&gt;"")))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satellite_costs_by_year</vt:lpstr>
      <vt:lpstr>satellite_programs</vt:lpstr>
      <vt:lpstr>satellite_production_detail</vt:lpstr>
      <vt:lpstr>satellite_components</vt:lpstr>
      <vt:lpstr>Integrity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Davis</dc:creator>
  <cp:lastModifiedBy>Jordan Davis</cp:lastModifiedBy>
  <dcterms:created xsi:type="dcterms:W3CDTF">2026-02-26T05:38:30Z</dcterms:created>
  <dcterms:modified xsi:type="dcterms:W3CDTF">2026-02-27T15:24:50Z</dcterms:modified>
</cp:coreProperties>
</file>